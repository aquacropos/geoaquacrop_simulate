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EsteLibro" defaultThemeVersion="124226"/>
  <xr:revisionPtr revIDLastSave="0" documentId="8_{391B5C28-3A1C-41FF-A9E8-DAB5280480A8}" xr6:coauthVersionLast="47" xr6:coauthVersionMax="47" xr10:uidLastSave="{00000000-0000-0000-0000-000000000000}"/>
  <bookViews>
    <workbookView xWindow="-108" yWindow="-108" windowWidth="23256" windowHeight="12456" activeTab="3" xr2:uid="{822CAB90-0317-4071-B9F7-5D2A95B227C7}"/>
  </bookViews>
  <sheets>
    <sheet name="2.1.2.1" sheetId="96" r:id="rId1"/>
    <sheet name="2.1.2.2" sheetId="102" r:id="rId2"/>
    <sheet name="2.1.2.3" sheetId="103" r:id="rId3"/>
    <sheet name="2.1.2.4 " sheetId="98" r:id="rId4"/>
    <sheet name="2.1.2.5" sheetId="104" r:id="rId5"/>
    <sheet name="2.1.2.6" sheetId="106" r:id="rId6"/>
    <sheet name="2.1.2.7" sheetId="107" r:id="rId7"/>
    <sheet name="2.1.2.8" sheetId="11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A">#REF!</definedName>
    <definedName name="\B">#N/A</definedName>
    <definedName name="\C">#REF!</definedName>
    <definedName name="\D">'[5]19.11-12'!$B$51</definedName>
    <definedName name="\G">#REF!</definedName>
    <definedName name="\I">#REF!</definedName>
    <definedName name="\L">'[5]19.11-12'!$B$53</definedName>
    <definedName name="\M">#N/A</definedName>
    <definedName name="\N">#REF!</definedName>
    <definedName name="\Q">#N/A</definedName>
    <definedName name="\S">#N/A</definedName>
    <definedName name="\T">[4]GANADE10!$B$90</definedName>
    <definedName name="\x">[11]Arlleg01!$IR$8190</definedName>
    <definedName name="\z">[11]Arlleg01!$IR$8190</definedName>
    <definedName name="__123Graph_A" hidden="1">'[5]19.14-15'!$B$34:$B$37</definedName>
    <definedName name="__123Graph_ACurrent" hidden="1">'[5]19.14-15'!$B$34:$B$37</definedName>
    <definedName name="__123Graph_AGrßfico1" hidden="1">'[5]19.14-15'!$B$34:$B$37</definedName>
    <definedName name="__123Graph_B" hidden="1">[1]p122!#REF!</definedName>
    <definedName name="__123Graph_BCurrent" hidden="1">'[5]19.14-15'!#REF!</definedName>
    <definedName name="__123Graph_BGrßfico1" hidden="1">'[5]19.14-15'!#REF!</definedName>
    <definedName name="__123Graph_C" hidden="1">'[5]19.14-15'!$C$34:$C$37</definedName>
    <definedName name="__123Graph_CCurrent" hidden="1">'[5]19.14-15'!$C$34:$C$37</definedName>
    <definedName name="__123Graph_CGrßfico1" hidden="1">'[5]19.14-15'!$C$34:$C$37</definedName>
    <definedName name="__123Graph_D" hidden="1">[1]p122!#REF!</definedName>
    <definedName name="__123Graph_DCurrent" hidden="1">'[5]19.14-15'!#REF!</definedName>
    <definedName name="__123Graph_DGrßfico1" hidden="1">'[5]19.14-15'!#REF!</definedName>
    <definedName name="__123Graph_E" hidden="1">'[5]19.14-15'!$D$34:$D$37</definedName>
    <definedName name="__123Graph_ECurrent" hidden="1">'[5]19.14-15'!$D$34:$D$37</definedName>
    <definedName name="__123Graph_EGrßfico1" hidden="1">'[5]19.14-15'!$D$34:$D$37</definedName>
    <definedName name="__123Graph_F" hidden="1">[1]p122!#REF!</definedName>
    <definedName name="__123Graph_FCurrent" hidden="1">'[5]19.14-15'!#REF!</definedName>
    <definedName name="__123Graph_FGrßfico1" hidden="1">'[5]19.14-15'!#REF!</definedName>
    <definedName name="__123Graph_X" hidden="1">[1]p122!#REF!</definedName>
    <definedName name="__123Graph_XCurrent" hidden="1">'[5]19.14-15'!#REF!</definedName>
    <definedName name="__123Graph_XGrßfico1" hidden="1">'[5]19.14-15'!#REF!</definedName>
    <definedName name="_Dist_Values" hidden="1">#N/A</definedName>
    <definedName name="a">'[14]3.1'!#REF!</definedName>
    <definedName name="A_impresión_IM">#REF!</definedName>
    <definedName name="alk">'[5]19.11-12'!$B$53</definedName>
    <definedName name="AÑOSEÑA">#N/A</definedName>
    <definedName name="_xlnm.Print_Area" localSheetId="2">'2.1.2.3'!$A$1:$K$24</definedName>
    <definedName name="_xlnm.Print_Area" localSheetId="3">'2.1.2.4 '!$A$1:$D$74</definedName>
    <definedName name="_xlnm.Print_Area" localSheetId="4">'2.1.2.5'!$A$1:$K$44</definedName>
    <definedName name="_xlnm.Print_Area" localSheetId="5">'2.1.2.6'!$A$1:$K$45</definedName>
    <definedName name="_xlnm.Print_Area" localSheetId="6">'2.1.2.7'!$A$1:$K$42</definedName>
    <definedName name="_xlnm.Print_Area" localSheetId="7">'2.1.2.8'!$A$1:$K$42</definedName>
    <definedName name="balan.xls" hidden="1">'[10]7.24'!$D$6:$D$27</definedName>
    <definedName name="_xlnm.Database">#N/A</definedName>
    <definedName name="BUSCARC">#N/A</definedName>
    <definedName name="BUSCARG">#N/A</definedName>
    <definedName name="CARGA">#N/A</definedName>
    <definedName name="CHEQUEO">#N/A</definedName>
    <definedName name="CODCULT">#N/A</definedName>
    <definedName name="CODGRUP">#N/A</definedName>
    <definedName name="COSECHA">#N/A</definedName>
    <definedName name="_xlnm.Criteria">#N/A</definedName>
    <definedName name="CUAD">#N/A</definedName>
    <definedName name="CUADRO">#N/A</definedName>
    <definedName name="CULTSEÑA">#N/A</definedName>
    <definedName name="DECENA">#N/A</definedName>
    <definedName name="DESCARGA">#N/A</definedName>
    <definedName name="DESTINO">#N/A</definedName>
    <definedName name="EXPORTAR">#N/A</definedName>
    <definedName name="FILA">#N/A</definedName>
    <definedName name="GRUPSEÑA">#N/A</definedName>
    <definedName name="GUION">#REF!</definedName>
    <definedName name="hgvnhgj">'[14]3.1'!#REF!</definedName>
    <definedName name="IMP">#N/A</definedName>
    <definedName name="IMPR">#N/A</definedName>
    <definedName name="IMPRIMIR">#N/A</definedName>
    <definedName name="Imprimir_área_IM">#REF!</definedName>
    <definedName name="kk" hidden="1">'[13]19.14-15'!#REF!</definedName>
    <definedName name="kkjkj">#REF!</definedName>
    <definedName name="l">'[14]3.1'!#REF!</definedName>
    <definedName name="LISTAS">#N/A</definedName>
    <definedName name="MENSAJE">#N/A</definedName>
    <definedName name="MENU">#N/A</definedName>
    <definedName name="NOMCULT">#N/A</definedName>
    <definedName name="NOMGRUP">#N/A</definedName>
    <definedName name="_p421">[6]CARNE1!$B$44</definedName>
    <definedName name="_p431" hidden="1">[6]CARNE7!$G$11:$G$93</definedName>
    <definedName name="_p7" hidden="1">'[13]19.14-15'!#REF!</definedName>
    <definedName name="PEP">[7]GANADE1!$B$79</definedName>
    <definedName name="_PEP1">'[8]19.11-12'!$B$51</definedName>
    <definedName name="_PEP2">[7]GANADE1!$B$75</definedName>
    <definedName name="_PEP3">'[8]19.11-12'!$B$53</definedName>
    <definedName name="_PEP4" hidden="1">'[8]19.14-15'!$B$34:$B$37</definedName>
    <definedName name="_PP1">[7]GANADE1!$B$77</definedName>
    <definedName name="_PP10" hidden="1">'[8]19.14-15'!$C$34:$C$37</definedName>
    <definedName name="_PP11" hidden="1">'[8]19.14-15'!$C$34:$C$37</definedName>
    <definedName name="_PP12" hidden="1">'[8]19.14-15'!$C$34:$C$37</definedName>
    <definedName name="_PP13" hidden="1">'[8]19.14-15'!#REF!</definedName>
    <definedName name="_PP14" hidden="1">'[8]19.14-15'!#REF!</definedName>
    <definedName name="_PP15" hidden="1">'[8]19.14-15'!#REF!</definedName>
    <definedName name="_PP16" hidden="1">'[8]19.14-15'!$D$34:$D$37</definedName>
    <definedName name="_PP17" hidden="1">'[8]19.14-15'!$D$34:$D$37</definedName>
    <definedName name="_pp18" hidden="1">'[8]19.14-15'!$D$34:$D$37</definedName>
    <definedName name="_pp19" hidden="1">'[8]19.14-15'!#REF!</definedName>
    <definedName name="_PP2">'[8]19.22'!#REF!</definedName>
    <definedName name="_PP20" hidden="1">'[8]19.14-15'!#REF!</definedName>
    <definedName name="_PP21" hidden="1">'[8]19.14-15'!#REF!</definedName>
    <definedName name="_PP22" hidden="1">'[8]19.14-15'!#REF!</definedName>
    <definedName name="_pp23" hidden="1">'[8]19.14-15'!#REF!</definedName>
    <definedName name="_pp24" hidden="1">'[8]19.14-15'!#REF!</definedName>
    <definedName name="_pp25" hidden="1">'[8]19.14-15'!#REF!</definedName>
    <definedName name="_pp26" hidden="1">'[8]19.14-15'!#REF!</definedName>
    <definedName name="_pp27" hidden="1">'[8]19.14-15'!#REF!</definedName>
    <definedName name="_PP3">[7]GANADE1!$B$79</definedName>
    <definedName name="_PP4">'[8]19.11-12'!$B$51</definedName>
    <definedName name="_PP5" hidden="1">'[8]19.14-15'!$B$34:$B$37</definedName>
    <definedName name="_PP6" hidden="1">'[8]19.14-15'!$B$34:$B$37</definedName>
    <definedName name="_PP7" hidden="1">'[8]19.14-15'!#REF!</definedName>
    <definedName name="_PP8" hidden="1">'[8]19.14-15'!#REF!</definedName>
    <definedName name="_PP9" hidden="1">'[8]19.14-15'!#REF!</definedName>
    <definedName name="REGI">#N/A</definedName>
    <definedName name="REGISTRO">#N/A</definedName>
    <definedName name="RELLENAR">#N/A</definedName>
    <definedName name="REND1">#N/A</definedName>
    <definedName name="REND2">#N/A</definedName>
    <definedName name="REND3">#N/A</definedName>
    <definedName name="RUTINA">#REF!</definedName>
    <definedName name="SIGUI">#N/A</definedName>
    <definedName name="_SUP1">#N/A</definedName>
    <definedName name="_SUP2">#N/A</definedName>
    <definedName name="_SUP3">#N/A</definedName>
    <definedName name="TCULTSEÑA">#N/A</definedName>
    <definedName name="_xlnm.Print_Titles" localSheetId="0">'2.1.2.1'!$1:$4</definedName>
    <definedName name="_xlnm.Print_Titles" localSheetId="3">'2.1.2.4 '!$1:$4</definedName>
    <definedName name="TO">#N/A</definedName>
    <definedName name="TODOS">#N/A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6" l="1"/>
  <c r="G10" i="96"/>
  <c r="D11" i="96"/>
  <c r="G11" i="96"/>
  <c r="D12" i="96"/>
  <c r="G12" i="96"/>
  <c r="D13" i="96"/>
  <c r="G13" i="96"/>
  <c r="D14" i="96"/>
  <c r="G14" i="96"/>
  <c r="D15" i="96"/>
  <c r="G15" i="96"/>
  <c r="D16" i="96"/>
  <c r="G16" i="96"/>
  <c r="D17" i="96"/>
  <c r="G17" i="96"/>
  <c r="D18" i="96"/>
  <c r="G18" i="96"/>
  <c r="B20" i="96"/>
  <c r="C20" i="96"/>
  <c r="D20" i="96"/>
  <c r="E20" i="96"/>
  <c r="J44" i="106"/>
  <c r="F20" i="96"/>
  <c r="K44" i="106"/>
  <c r="H20" i="96"/>
  <c r="B23" i="102"/>
  <c r="B23" i="102" a="1"/>
  <c r="C23" i="102"/>
  <c r="D23" i="102"/>
  <c r="E23" i="102"/>
  <c r="F23" i="102"/>
  <c r="G23" i="102"/>
  <c r="H23" i="102"/>
  <c r="I23" i="102"/>
  <c r="J23" i="102"/>
  <c r="K23" i="102"/>
  <c r="B23" i="98"/>
  <c r="B24" i="104"/>
  <c r="C24" i="104"/>
  <c r="D24" i="104"/>
  <c r="E24" i="104"/>
  <c r="F24" i="104"/>
  <c r="G24" i="104"/>
  <c r="H24" i="104"/>
  <c r="I24" i="104"/>
  <c r="J24" i="104"/>
  <c r="K24" i="104"/>
  <c r="J41" i="104"/>
  <c r="K41" i="104"/>
  <c r="B43" i="104"/>
  <c r="C43" i="104"/>
  <c r="D43" i="104"/>
  <c r="E43" i="104"/>
  <c r="F43" i="104"/>
  <c r="G43" i="104"/>
  <c r="H43" i="104"/>
  <c r="I43" i="104"/>
  <c r="J43" i="104"/>
  <c r="K43" i="104"/>
  <c r="B24" i="106"/>
  <c r="C24" i="106"/>
  <c r="D24" i="106"/>
  <c r="E24" i="106"/>
  <c r="F24" i="106"/>
  <c r="G24" i="106"/>
  <c r="H24" i="106"/>
  <c r="I24" i="106"/>
  <c r="J24" i="106"/>
  <c r="K24" i="106"/>
  <c r="B44" i="106"/>
  <c r="C44" i="106"/>
  <c r="D44" i="106"/>
  <c r="E44" i="106"/>
  <c r="F44" i="106"/>
  <c r="G44" i="106"/>
  <c r="H44" i="106"/>
  <c r="I44" i="106"/>
  <c r="K15" i="107"/>
  <c r="K21" i="107"/>
  <c r="K23" i="107"/>
  <c r="K33" i="107"/>
  <c r="K35" i="107"/>
  <c r="K39" i="107"/>
  <c r="K41" i="107"/>
  <c r="K15" i="111"/>
  <c r="K21" i="111"/>
  <c r="K23" i="111"/>
  <c r="K36" i="111"/>
  <c r="K39" i="111"/>
  <c r="K41" i="111"/>
  <c r="B23" i="103" a="1"/>
  <c r="B23" i="103"/>
  <c r="G20" i="96"/>
  <c r="D23" i="103"/>
  <c r="I23" i="103"/>
  <c r="J23" i="103"/>
  <c r="E23" i="103"/>
  <c r="F23" i="103"/>
  <c r="H23" i="103"/>
  <c r="G23" i="103"/>
  <c r="C23" i="103"/>
  <c r="K23" i="103"/>
  <c r="C23" i="98"/>
</calcChain>
</file>

<file path=xl/sharedStrings.xml><?xml version="1.0" encoding="utf-8"?>
<sst xmlns="http://schemas.openxmlformats.org/spreadsheetml/2006/main" count="187" uniqueCount="43">
  <si>
    <t>Producción (toneladas)</t>
  </si>
  <si>
    <t>Secano</t>
  </si>
  <si>
    <t>Regadío</t>
  </si>
  <si>
    <t>Total</t>
  </si>
  <si>
    <t>SUPERFICIES Y PRODUCCIONES DE CULTIVO</t>
  </si>
  <si>
    <t>Paja cosechada</t>
  </si>
  <si>
    <t>Grano</t>
  </si>
  <si>
    <t>Años</t>
  </si>
  <si>
    <t xml:space="preserve">  Ávila</t>
  </si>
  <si>
    <t xml:space="preserve">  Burgos</t>
  </si>
  <si>
    <t xml:space="preserve">  León</t>
  </si>
  <si>
    <t xml:space="preserve">  Palencia</t>
  </si>
  <si>
    <t>Salamanca</t>
  </si>
  <si>
    <t xml:space="preserve">  Segovia</t>
  </si>
  <si>
    <t xml:space="preserve">   Soria</t>
  </si>
  <si>
    <t>Valladolid</t>
  </si>
  <si>
    <t xml:space="preserve"> Zamora</t>
  </si>
  <si>
    <t>Castilla-León</t>
  </si>
  <si>
    <t>CASTILLA Y LEÓN</t>
  </si>
  <si>
    <t>Palencia</t>
  </si>
  <si>
    <t>León</t>
  </si>
  <si>
    <t>Burgos</t>
  </si>
  <si>
    <t>Ávila</t>
  </si>
  <si>
    <t>Segovia</t>
  </si>
  <si>
    <t>Soria</t>
  </si>
  <si>
    <t>Zamora</t>
  </si>
  <si>
    <t>Avila</t>
  </si>
  <si>
    <t>Castilla y León</t>
  </si>
  <si>
    <t>Producción (t)</t>
  </si>
  <si>
    <t>Superficie (ha)</t>
  </si>
  <si>
    <t xml:space="preserve">Superficie  (ha) </t>
  </si>
  <si>
    <t>Rendimiento  (Kg/ha)</t>
  </si>
  <si>
    <t>Rendimientos (Kg/ha)</t>
  </si>
  <si>
    <t>Precio medio percibido por los agricultores (euros/100kg)*</t>
  </si>
  <si>
    <t>* Se trata de precios percibidos de trigo blando.</t>
  </si>
  <si>
    <t>2.1.2.7.  Trigo duro: Evolución provincial de la superficie y producción (2010 - 2023)</t>
  </si>
  <si>
    <t>2.1.2.8.  Trigo blando: Evolución provincial de la superficie y producción (2010- 2023)</t>
  </si>
  <si>
    <t>2.1.2.6.  Trigo: Evolución provincial de rendimientos en secano y regadío (2010 - 2023)</t>
  </si>
  <si>
    <t>2.1.2.5.  Trigo: Evolución provincial de la superficie de secano y regadío (2010- 2023)</t>
  </si>
  <si>
    <t>2.1.2.4.  Trigo: Evolución de superficie,  producción y precio (2010- 2023)</t>
  </si>
  <si>
    <t>2.1.2.3.  Trigo: Evolución provincial de la producción (2010- 2023)</t>
  </si>
  <si>
    <t>2.1.2.2.  Trigo: Evolución provincial de la superficie (2010 - 2023)</t>
  </si>
  <si>
    <t>2.1.2.1  Trigo: Resumen regional de superficie, rendimiento y producción,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</si>
</sst>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€_-;\-* #,##0\ _€_-;_-* &quot;-&quot;\ _€_-;_-@_-"/>
    <numFmt numFmtId="169" formatCode="_-* #,##0.00\ _P_t_s_-;\-* #,##0.00\ _P_t_s_-;_-* &quot;-&quot;??\ _P_t_s_-;_-@_-"/>
    <numFmt numFmtId="175" formatCode="#,##0;\(0.0\)"/>
    <numFmt numFmtId="178" formatCode="#,##0__;\–#,##0__;0__;@__"/>
    <numFmt numFmtId="179" formatCode="_-* #,##0.00\ [$€]_-;\-* #,##0.00\ [$€]_-;_-* &quot;-&quot;??\ [$€]_-;_-@_-"/>
    <numFmt numFmtId="191" formatCode="_-* #,##0.00\ _€_-;\-* #,##0.00\ _€_-;_-* &quot;-&quot;\ _€_-;_-@_-"/>
    <numFmt numFmtId="193" formatCode="#,##0.000__;\–#,##0.000__;0.000__;@__"/>
  </numFmts>
  <fonts count="1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9BBB59"/>
      </bottom>
      <diagonal/>
    </border>
    <border>
      <left/>
      <right/>
      <top/>
      <bottom style="medium">
        <color theme="6"/>
      </bottom>
      <diagonal/>
    </border>
    <border>
      <left/>
      <right/>
      <top style="medium">
        <color theme="6"/>
      </top>
      <bottom style="medium">
        <color rgb="FF9BBB59"/>
      </bottom>
      <diagonal/>
    </border>
    <border>
      <left/>
      <right/>
      <top/>
      <bottom style="medium">
        <color theme="6" tint="0.39994506668294322"/>
      </bottom>
      <diagonal/>
    </border>
    <border>
      <left/>
      <right/>
      <top style="medium">
        <color theme="6"/>
      </top>
      <bottom/>
      <diagonal/>
    </border>
    <border>
      <left/>
      <right/>
      <top style="medium">
        <color rgb="FF9BBB59"/>
      </top>
      <bottom/>
      <diagonal/>
    </border>
    <border>
      <left/>
      <right/>
      <top style="medium">
        <color rgb="FF9BBB59"/>
      </top>
      <bottom style="thin">
        <color rgb="FF9BBB59"/>
      </bottom>
      <diagonal/>
    </border>
  </borders>
  <cellStyleXfs count="4">
    <xf numFmtId="0" fontId="0" fillId="0" borderId="0"/>
    <xf numFmtId="17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5" fontId="2" fillId="0" borderId="1">
      <alignment horizontal="right"/>
    </xf>
  </cellStyleXfs>
  <cellXfs count="78">
    <xf numFmtId="0" fontId="0" fillId="0" borderId="0" xfId="0"/>
    <xf numFmtId="0" fontId="4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4" fillId="3" borderId="0" xfId="0" applyFont="1" applyFill="1" applyAlignment="1">
      <alignment horizontal="left" vertical="top" indent="1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0" fontId="5" fillId="2" borderId="0" xfId="0" applyFont="1" applyFill="1" applyBorder="1" applyProtection="1"/>
    <xf numFmtId="0" fontId="4" fillId="3" borderId="3" xfId="0" applyFont="1" applyFill="1" applyBorder="1" applyAlignment="1">
      <alignment vertical="top"/>
    </xf>
    <xf numFmtId="164" fontId="5" fillId="3" borderId="0" xfId="0" applyNumberFormat="1" applyFont="1" applyFill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4" fillId="3" borderId="0" xfId="0" applyNumberFormat="1" applyFont="1" applyFill="1" applyAlignment="1">
      <alignment horizontal="right" vertical="top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Protection="1"/>
    <xf numFmtId="0" fontId="7" fillId="2" borderId="0" xfId="0" applyFont="1" applyFill="1" applyBorder="1" applyProtection="1"/>
    <xf numFmtId="178" fontId="5" fillId="2" borderId="0" xfId="0" applyNumberFormat="1" applyFont="1" applyFill="1" applyBorder="1" applyProtection="1"/>
    <xf numFmtId="0" fontId="7" fillId="2" borderId="3" xfId="0" applyFont="1" applyFill="1" applyBorder="1" applyProtection="1"/>
    <xf numFmtId="0" fontId="8" fillId="2" borderId="0" xfId="0" applyFont="1" applyFill="1" applyBorder="1" applyAlignment="1" applyProtection="1"/>
    <xf numFmtId="164" fontId="5" fillId="2" borderId="0" xfId="0" applyNumberFormat="1" applyFont="1" applyFill="1" applyBorder="1" applyProtection="1"/>
    <xf numFmtId="178" fontId="4" fillId="2" borderId="0" xfId="0" applyNumberFormat="1" applyFont="1" applyFill="1" applyBorder="1" applyAlignment="1" applyProtection="1">
      <alignment horizontal="right"/>
    </xf>
    <xf numFmtId="0" fontId="9" fillId="2" borderId="0" xfId="0" applyFont="1" applyFill="1" applyBorder="1" applyAlignment="1" applyProtection="1">
      <alignment horizontal="center"/>
    </xf>
    <xf numFmtId="0" fontId="9" fillId="2" borderId="0" xfId="0" applyFont="1" applyFill="1" applyBorder="1" applyAlignment="1" applyProtection="1"/>
    <xf numFmtId="0" fontId="7" fillId="0" borderId="0" xfId="0" applyFont="1" applyFill="1" applyBorder="1" applyProtection="1"/>
    <xf numFmtId="0" fontId="8" fillId="2" borderId="0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/>
    <xf numFmtId="0" fontId="5" fillId="2" borderId="0" xfId="0" applyFont="1" applyFill="1" applyBorder="1" applyAlignment="1" applyProtection="1">
      <alignment horizontal="center"/>
    </xf>
    <xf numFmtId="178" fontId="10" fillId="2" borderId="0" xfId="0" applyNumberFormat="1" applyFont="1" applyFill="1" applyBorder="1" applyProtection="1"/>
    <xf numFmtId="0" fontId="10" fillId="2" borderId="0" xfId="0" applyFont="1" applyFill="1" applyBorder="1" applyProtection="1"/>
    <xf numFmtId="178" fontId="5" fillId="2" borderId="0" xfId="0" applyNumberFormat="1" applyFont="1" applyFill="1" applyBorder="1" applyAlignment="1" applyProtection="1">
      <alignment horizontal="right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3" fontId="5" fillId="3" borderId="0" xfId="0" applyNumberFormat="1" applyFont="1" applyFill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191" fontId="5" fillId="3" borderId="0" xfId="0" applyNumberFormat="1" applyFont="1" applyFill="1" applyAlignment="1">
      <alignment horizontal="right" vertical="top"/>
    </xf>
    <xf numFmtId="191" fontId="5" fillId="0" borderId="0" xfId="0" applyNumberFormat="1" applyFont="1" applyAlignment="1">
      <alignment horizontal="right" vertical="top"/>
    </xf>
    <xf numFmtId="0" fontId="4" fillId="0" borderId="0" xfId="0" applyFont="1" applyFill="1" applyAlignment="1">
      <alignment horizontal="center" vertical="top"/>
    </xf>
    <xf numFmtId="0" fontId="4" fillId="0" borderId="2" xfId="0" applyFont="1" applyFill="1" applyBorder="1" applyAlignment="1">
      <alignment vertical="top"/>
    </xf>
    <xf numFmtId="0" fontId="4" fillId="0" borderId="2" xfId="0" applyFont="1" applyFill="1" applyBorder="1" applyAlignment="1">
      <alignment horizontal="right" vertical="top"/>
    </xf>
    <xf numFmtId="0" fontId="5" fillId="0" borderId="0" xfId="0" applyFont="1" applyFill="1" applyBorder="1" applyProtection="1"/>
    <xf numFmtId="0" fontId="4" fillId="4" borderId="2" xfId="0" applyFont="1" applyFill="1" applyBorder="1" applyAlignment="1">
      <alignment vertical="top"/>
    </xf>
    <xf numFmtId="0" fontId="4" fillId="4" borderId="2" xfId="0" applyFont="1" applyFill="1" applyBorder="1" applyAlignment="1">
      <alignment horizontal="right" vertical="top"/>
    </xf>
    <xf numFmtId="0" fontId="4" fillId="4" borderId="3" xfId="0" applyFont="1" applyFill="1" applyBorder="1" applyAlignment="1">
      <alignment horizontal="center" vertical="top"/>
    </xf>
    <xf numFmtId="3" fontId="5" fillId="4" borderId="3" xfId="0" applyNumberFormat="1" applyFont="1" applyFill="1" applyBorder="1" applyAlignment="1">
      <alignment horizontal="right" vertical="top"/>
    </xf>
    <xf numFmtId="0" fontId="5" fillId="0" borderId="0" xfId="0" applyFont="1" applyFill="1" applyAlignment="1">
      <alignment horizontal="right" vertical="top"/>
    </xf>
    <xf numFmtId="0" fontId="7" fillId="2" borderId="0" xfId="0" applyFont="1" applyFill="1" applyBorder="1" applyAlignment="1" applyProtection="1">
      <alignment vertical="center"/>
    </xf>
    <xf numFmtId="0" fontId="4" fillId="0" borderId="4" xfId="0" applyFont="1" applyBorder="1" applyAlignment="1">
      <alignment vertical="center"/>
    </xf>
    <xf numFmtId="0" fontId="4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0" fontId="5" fillId="4" borderId="0" xfId="0" applyFont="1" applyFill="1" applyBorder="1" applyProtection="1"/>
    <xf numFmtId="0" fontId="4" fillId="4" borderId="5" xfId="0" applyFont="1" applyFill="1" applyBorder="1" applyAlignment="1">
      <alignment horizontal="center" vertical="top"/>
    </xf>
    <xf numFmtId="164" fontId="5" fillId="4" borderId="5" xfId="0" applyNumberFormat="1" applyFont="1" applyFill="1" applyBorder="1" applyAlignment="1">
      <alignment horizontal="right" vertical="top"/>
    </xf>
    <xf numFmtId="191" fontId="5" fillId="4" borderId="5" xfId="0" applyNumberFormat="1" applyFont="1" applyFill="1" applyBorder="1" applyAlignment="1">
      <alignment horizontal="right" vertical="top"/>
    </xf>
    <xf numFmtId="164" fontId="5" fillId="4" borderId="0" xfId="0" applyNumberFormat="1" applyFont="1" applyFill="1" applyBorder="1" applyProtection="1"/>
    <xf numFmtId="3" fontId="5" fillId="2" borderId="0" xfId="0" applyNumberFormat="1" applyFont="1" applyFill="1" applyBorder="1" applyProtection="1"/>
    <xf numFmtId="193" fontId="5" fillId="2" borderId="0" xfId="0" applyNumberFormat="1" applyFont="1" applyFill="1" applyBorder="1" applyProtection="1"/>
    <xf numFmtId="169" fontId="5" fillId="2" borderId="0" xfId="2" applyFont="1" applyFill="1" applyBorder="1" applyProtection="1"/>
    <xf numFmtId="0" fontId="5" fillId="2" borderId="0" xfId="0" applyFont="1" applyFill="1" applyBorder="1" applyAlignment="1" applyProtection="1">
      <alignment horizontal="left"/>
    </xf>
    <xf numFmtId="164" fontId="5" fillId="4" borderId="0" xfId="0" applyNumberFormat="1" applyFont="1" applyFill="1" applyAlignment="1">
      <alignment horizontal="right" vertical="top"/>
    </xf>
    <xf numFmtId="164" fontId="5" fillId="0" borderId="0" xfId="0" applyNumberFormat="1" applyFont="1" applyFill="1" applyAlignment="1">
      <alignment horizontal="right" vertical="top"/>
    </xf>
    <xf numFmtId="191" fontId="5" fillId="0" borderId="0" xfId="0" applyNumberFormat="1" applyFont="1" applyFill="1" applyAlignment="1">
      <alignment horizontal="right" vertical="top"/>
    </xf>
    <xf numFmtId="3" fontId="5" fillId="0" borderId="0" xfId="0" applyNumberFormat="1" applyFont="1" applyFill="1" applyAlignment="1">
      <alignment horizontal="right" vertical="top"/>
    </xf>
    <xf numFmtId="0" fontId="9" fillId="2" borderId="0" xfId="0" applyFont="1" applyFill="1" applyBorder="1" applyAlignment="1" applyProtection="1">
      <alignment horizontal="center"/>
    </xf>
    <xf numFmtId="0" fontId="8" fillId="2" borderId="0" xfId="0" applyFont="1" applyFill="1" applyBorder="1" applyAlignment="1" applyProtection="1">
      <alignment horizontal="left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</cellXfs>
  <cellStyles count="4">
    <cellStyle name="Euro" xfId="1" xr:uid="{BCF103E4-F40B-4F08-9825-EC9C1EECFE34}"/>
    <cellStyle name="Millares" xfId="2" builtinId="3"/>
    <cellStyle name="Normal" xfId="0" builtinId="0"/>
    <cellStyle name="pepe" xfId="3" xr:uid="{52F5018B-B6AE-4791-9FC7-BD1B9999DB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Distribución provincial de superficie y producción de trigo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91046064430742"/>
          <c:y val="0.13475550610521511"/>
          <c:w val="0.75191061085550948"/>
          <c:h val="0.68027473467990418"/>
        </c:manualLayout>
      </c:layout>
      <c:barChart>
        <c:barDir val="col"/>
        <c:grouping val="clustered"/>
        <c:varyColors val="0"/>
        <c:ser>
          <c:idx val="0"/>
          <c:order val="0"/>
          <c:tx>
            <c:v>SUPERFICIE</c:v>
          </c:tx>
          <c:invertIfNegative val="0"/>
          <c:cat>
            <c:strRef>
              <c:f>'2.1.2.1'!$A$10:$A$18</c:f>
              <c:strCache>
                <c:ptCount val="9"/>
                <c:pt idx="0">
                  <c:v>Ávila</c:v>
                </c:pt>
                <c:pt idx="1">
                  <c:v>Burgos</c:v>
                </c:pt>
                <c:pt idx="2">
                  <c:v>León</c:v>
                </c:pt>
                <c:pt idx="3">
                  <c:v>Palencia</c:v>
                </c:pt>
                <c:pt idx="4">
                  <c:v>Salamanca</c:v>
                </c:pt>
                <c:pt idx="5">
                  <c:v>Segovia</c:v>
                </c:pt>
                <c:pt idx="6">
                  <c:v>Soria</c:v>
                </c:pt>
                <c:pt idx="7">
                  <c:v>Valladolid</c:v>
                </c:pt>
                <c:pt idx="8">
                  <c:v>Zamora</c:v>
                </c:pt>
              </c:strCache>
            </c:strRef>
          </c:cat>
          <c:val>
            <c:numRef>
              <c:f>'2.1.2.1'!$D$10:$D$18</c:f>
              <c:numCache>
                <c:formatCode>_-* #,##0\ _€_-;\-* #,##0\ _€_-;_-* "-"\ _€_-;_-@_-</c:formatCode>
                <c:ptCount val="9"/>
                <c:pt idx="0">
                  <c:v>29174</c:v>
                </c:pt>
                <c:pt idx="1">
                  <c:v>185670</c:v>
                </c:pt>
                <c:pt idx="2">
                  <c:v>45433</c:v>
                </c:pt>
                <c:pt idx="3">
                  <c:v>116538</c:v>
                </c:pt>
                <c:pt idx="4">
                  <c:v>57536</c:v>
                </c:pt>
                <c:pt idx="5">
                  <c:v>63660</c:v>
                </c:pt>
                <c:pt idx="6">
                  <c:v>92629</c:v>
                </c:pt>
                <c:pt idx="7">
                  <c:v>106776</c:v>
                </c:pt>
                <c:pt idx="8">
                  <c:v>55698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E-4D15-9DCB-5961EAF4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6"/>
        <c:overlap val="-100"/>
        <c:axId val="1416968607"/>
        <c:axId val="1"/>
      </c:barChart>
      <c:barChart>
        <c:barDir val="col"/>
        <c:grouping val="clustered"/>
        <c:varyColors val="0"/>
        <c:ser>
          <c:idx val="1"/>
          <c:order val="1"/>
          <c:tx>
            <c:v>PRODUCCION</c:v>
          </c:tx>
          <c:spPr>
            <a:solidFill>
              <a:schemeClr val="accent3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val>
            <c:numRef>
              <c:f>'2.1.2.1'!$G$10:$G$18</c:f>
              <c:numCache>
                <c:formatCode>_-* #,##0\ _€_-;\-* #,##0\ _€_-;_-* "-"\ _€_-;_-@_-</c:formatCode>
                <c:ptCount val="9"/>
                <c:pt idx="0">
                  <c:v>38628.879999999997</c:v>
                </c:pt>
                <c:pt idx="1">
                  <c:v>504871.68099999998</c:v>
                </c:pt>
                <c:pt idx="2">
                  <c:v>139173.21</c:v>
                </c:pt>
                <c:pt idx="3">
                  <c:v>350989.61800000002</c:v>
                </c:pt>
                <c:pt idx="4">
                  <c:v>154351.07999999999</c:v>
                </c:pt>
                <c:pt idx="5">
                  <c:v>103992.459</c:v>
                </c:pt>
                <c:pt idx="6">
                  <c:v>97755.928</c:v>
                </c:pt>
                <c:pt idx="7">
                  <c:v>228721.913</c:v>
                </c:pt>
                <c:pt idx="8">
                  <c:v>114471.512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E-4D15-9DCB-5961EAF4D72F}"/>
            </c:ext>
          </c:extLst>
        </c:ser>
        <c:ser>
          <c:idx val="2"/>
          <c:order val="2"/>
          <c:tx>
            <c:v/>
          </c:tx>
          <c:spPr>
            <a:noFill/>
          </c:spPr>
          <c:invertIfNegative val="0"/>
          <c:val>
            <c:numRef>
              <c:f>'2.1.2.1'!$I$10:$I$18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F5AE-4D15-9DCB-5961EAF4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4"/>
        <c:overlap val="-100"/>
        <c:axId val="3"/>
        <c:axId val="4"/>
      </c:barChart>
      <c:catAx>
        <c:axId val="141696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Superficie (ha)</a:t>
                </a:r>
              </a:p>
            </c:rich>
          </c:tx>
          <c:overlay val="0"/>
        </c:title>
        <c:numFmt formatCode="_-* #,##0\ _€_-;\-* #,##0\ _€_-;_-* &quot;-&quot;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696860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Producción (t)</a:t>
                </a:r>
              </a:p>
            </c:rich>
          </c:tx>
          <c:overlay val="0"/>
        </c:title>
        <c:numFmt formatCode="_-* #,##0\ _€_-;\-* #,##0\ _€_-;_-* &quot;-&quot;\ _€_-;_-@_-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3"/>
        <c:crosses val="max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44434025545322214"/>
          <c:y val="0.90655169462512841"/>
          <c:w val="0.66385913054611545"/>
          <c:h val="0.9891632431815589"/>
        </c:manualLayout>
      </c:layout>
      <c:overlay val="0"/>
      <c:spPr>
        <a:noFill/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la superficie de trigo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36921286900994"/>
          <c:y val="0.25775175538955064"/>
          <c:w val="0.79481086127120704"/>
          <c:h val="0.55206945285685438"/>
        </c:manualLayout>
      </c:layout>
      <c:lineChart>
        <c:grouping val="stacked"/>
        <c:varyColors val="0"/>
        <c:ser>
          <c:idx val="3"/>
          <c:order val="0"/>
          <c:marker>
            <c:symbol val="none"/>
          </c:marker>
          <c:cat>
            <c:numRef>
              <c:f>'2.1.2.4 '!$A$10:$A$23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'2.1.2.4 '!$B$10:$B$23</c:f>
              <c:numCache>
                <c:formatCode>_-* #,##0\ _€_-;\-* #,##0\ _€_-;_-* "-"\ _€_-;_-@_-</c:formatCode>
                <c:ptCount val="14"/>
                <c:pt idx="0">
                  <c:v>696560</c:v>
                </c:pt>
                <c:pt idx="1">
                  <c:v>741634</c:v>
                </c:pt>
                <c:pt idx="2">
                  <c:v>783746</c:v>
                </c:pt>
                <c:pt idx="3">
                  <c:v>819459</c:v>
                </c:pt>
                <c:pt idx="4">
                  <c:v>885077</c:v>
                </c:pt>
                <c:pt idx="5">
                  <c:v>865282</c:v>
                </c:pt>
                <c:pt idx="6">
                  <c:v>904903</c:v>
                </c:pt>
                <c:pt idx="7">
                  <c:v>858637</c:v>
                </c:pt>
                <c:pt idx="8">
                  <c:v>877625</c:v>
                </c:pt>
                <c:pt idx="9">
                  <c:v>801866</c:v>
                </c:pt>
                <c:pt idx="10">
                  <c:v>788256</c:v>
                </c:pt>
                <c:pt idx="11">
                  <c:v>907852</c:v>
                </c:pt>
                <c:pt idx="12">
                  <c:v>895295</c:v>
                </c:pt>
                <c:pt idx="13">
                  <c:v>753114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C-4EC9-AB15-717094FBD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556415"/>
        <c:axId val="1"/>
      </c:lineChart>
      <c:catAx>
        <c:axId val="141955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1000000"/>
          <c:min val="0"/>
        </c:scaling>
        <c:delete val="0"/>
        <c:axPos val="l"/>
        <c:majorGridlines/>
        <c:numFmt formatCode="_-* #,##0\ _€_-;\-* #,##0\ _€_-;_-* &quot;-&quot;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9556415"/>
        <c:crosses val="autoZero"/>
        <c:crossBetween val="between"/>
        <c:majorUnit val="200000"/>
      </c:valAx>
    </c:plotArea>
    <c:legend>
      <c:legendPos val="r"/>
      <c:layout>
        <c:manualLayout>
          <c:xMode val="edge"/>
          <c:yMode val="edge"/>
          <c:wMode val="edge"/>
          <c:hMode val="edge"/>
          <c:x val="0.15335525069675568"/>
          <c:y val="0.90627833452636608"/>
          <c:w val="0.31057664989041317"/>
          <c:h val="0.98582639883082801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la producción de trigo (t)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36921286900994"/>
          <c:y val="0.24190071160890986"/>
          <c:w val="0.79937478014990393"/>
          <c:h val="0.57961598383089818"/>
        </c:manualLayout>
      </c:layout>
      <c:lineChart>
        <c:grouping val="standard"/>
        <c:varyColors val="0"/>
        <c:ser>
          <c:idx val="3"/>
          <c:order val="0"/>
          <c:marker>
            <c:symbol val="none"/>
          </c:marker>
          <c:cat>
            <c:numRef>
              <c:f>'2.1.2.4 '!$A$10:$A$23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'2.1.2.4 '!$C$10:$C$23</c:f>
              <c:numCache>
                <c:formatCode>_-* #,##0\ _€_-;\-* #,##0\ _€_-;_-* "-"\ _€_-;_-@_-</c:formatCode>
                <c:ptCount val="14"/>
                <c:pt idx="0">
                  <c:v>2524830.1250499999</c:v>
                </c:pt>
                <c:pt idx="1">
                  <c:v>2980976.9530000007</c:v>
                </c:pt>
                <c:pt idx="2">
                  <c:v>2282314.0639999998</c:v>
                </c:pt>
                <c:pt idx="3">
                  <c:v>3443190.3640000005</c:v>
                </c:pt>
                <c:pt idx="4">
                  <c:v>2784336.0579999993</c:v>
                </c:pt>
                <c:pt idx="5">
                  <c:v>2836773.7349999994</c:v>
                </c:pt>
                <c:pt idx="6">
                  <c:v>3980302.9269999997</c:v>
                </c:pt>
                <c:pt idx="7">
                  <c:v>1505076.5759999999</c:v>
                </c:pt>
                <c:pt idx="8">
                  <c:v>3615536.4040000001</c:v>
                </c:pt>
                <c:pt idx="9">
                  <c:v>2339655.8639999996</c:v>
                </c:pt>
                <c:pt idx="10">
                  <c:v>3569551.5219999999</c:v>
                </c:pt>
                <c:pt idx="11">
                  <c:v>3883335.3960000002</c:v>
                </c:pt>
                <c:pt idx="12">
                  <c:v>2629556.7570000002</c:v>
                </c:pt>
                <c:pt idx="13">
                  <c:v>1732956.281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C-4061-B410-3AAC7B958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557375"/>
        <c:axId val="1"/>
      </c:lineChart>
      <c:catAx>
        <c:axId val="14195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4000000"/>
          <c:min val="0"/>
        </c:scaling>
        <c:delete val="0"/>
        <c:axPos val="l"/>
        <c:majorGridlines/>
        <c:numFmt formatCode="_-* #,##0\ _€_-;\-* #,##0\ _€_-;_-* &quot;-&quot;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9557375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3569697553914008"/>
          <c:y val="0.91179663705138458"/>
          <c:w val="0.5270780907541196"/>
          <c:h val="0.98666540345558407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 Evolución del precio medio del trigo percibido por los agricultores (euros/100kg)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08250995652571"/>
          <c:y val="0.22505190582520468"/>
          <c:w val="0.84989072311906955"/>
          <c:h val="0.61718833653256022"/>
        </c:manualLayout>
      </c:layout>
      <c:lineChart>
        <c:grouping val="standard"/>
        <c:varyColors val="0"/>
        <c:ser>
          <c:idx val="3"/>
          <c:order val="0"/>
          <c:marker>
            <c:symbol val="none"/>
          </c:marker>
          <c:cat>
            <c:numRef>
              <c:f>'2.1.2.4 '!$A$10:$A$23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'2.1.2.4 '!$D$10:$D$23</c:f>
              <c:numCache>
                <c:formatCode>_-* #,##0.00\ _€_-;\-* #,##0.00\ _€_-;_-* "-"\ _€_-;_-@_-</c:formatCode>
                <c:ptCount val="14"/>
                <c:pt idx="0">
                  <c:v>17.420000000000002</c:v>
                </c:pt>
                <c:pt idx="1">
                  <c:v>20.52</c:v>
                </c:pt>
                <c:pt idx="2">
                  <c:v>23.87</c:v>
                </c:pt>
                <c:pt idx="3">
                  <c:v>19.23</c:v>
                </c:pt>
                <c:pt idx="4">
                  <c:v>17.440000000000001</c:v>
                </c:pt>
                <c:pt idx="5">
                  <c:v>17.59</c:v>
                </c:pt>
                <c:pt idx="6">
                  <c:v>15.08</c:v>
                </c:pt>
                <c:pt idx="7">
                  <c:v>17.29</c:v>
                </c:pt>
                <c:pt idx="8">
                  <c:v>17.940000000000001</c:v>
                </c:pt>
                <c:pt idx="9">
                  <c:v>18.239999999999998</c:v>
                </c:pt>
                <c:pt idx="10">
                  <c:v>18.07</c:v>
                </c:pt>
                <c:pt idx="11">
                  <c:v>23.16</c:v>
                </c:pt>
                <c:pt idx="12">
                  <c:v>33.15</c:v>
                </c:pt>
                <c:pt idx="13">
                  <c:v>25.88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C-4F9B-A979-7177751A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559295"/>
        <c:axId val="1"/>
      </c:lineChart>
      <c:catAx>
        <c:axId val="141955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At val="0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38"/>
          <c:min val="10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9559295"/>
        <c:crosses val="autoZero"/>
        <c:crossBetween val="between"/>
        <c:majorUnit val="2"/>
        <c:minorUnit val="2"/>
      </c:valAx>
    </c:plotArea>
    <c:legend>
      <c:legendPos val="r"/>
      <c:layout>
        <c:manualLayout>
          <c:xMode val="edge"/>
          <c:yMode val="edge"/>
          <c:wMode val="edge"/>
          <c:hMode val="edge"/>
          <c:x val="0.44145512216378358"/>
          <c:y val="0.91794015486870117"/>
          <c:w val="0.56114995760665054"/>
          <c:h val="0.9875941813243494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7</xdr:col>
      <xdr:colOff>655320</xdr:colOff>
      <xdr:row>42</xdr:row>
      <xdr:rowOff>76200</xdr:rowOff>
    </xdr:to>
    <xdr:graphicFrame macro="">
      <xdr:nvGraphicFramePr>
        <xdr:cNvPr id="4545" name="Chart 3">
          <a:extLst>
            <a:ext uri="{FF2B5EF4-FFF2-40B4-BE49-F238E27FC236}">
              <a16:creationId xmlns:a16="http://schemas.microsoft.com/office/drawing/2014/main" id="{4DE0A477-81C5-2C61-8B94-EC38989A7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26</xdr:row>
      <xdr:rowOff>7620</xdr:rowOff>
    </xdr:from>
    <xdr:to>
      <xdr:col>4</xdr:col>
      <xdr:colOff>7620</xdr:colOff>
      <xdr:row>40</xdr:row>
      <xdr:rowOff>22860</xdr:rowOff>
    </xdr:to>
    <xdr:graphicFrame macro="">
      <xdr:nvGraphicFramePr>
        <xdr:cNvPr id="2973" name="Chart 1">
          <a:extLst>
            <a:ext uri="{FF2B5EF4-FFF2-40B4-BE49-F238E27FC236}">
              <a16:creationId xmlns:a16="http://schemas.microsoft.com/office/drawing/2014/main" id="{8DBBF814-340A-2881-07FB-1BC994673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30480</xdr:rowOff>
    </xdr:from>
    <xdr:to>
      <xdr:col>4</xdr:col>
      <xdr:colOff>0</xdr:colOff>
      <xdr:row>56</xdr:row>
      <xdr:rowOff>22860</xdr:rowOff>
    </xdr:to>
    <xdr:graphicFrame macro="">
      <xdr:nvGraphicFramePr>
        <xdr:cNvPr id="2974" name="Chart 2">
          <a:extLst>
            <a:ext uri="{FF2B5EF4-FFF2-40B4-BE49-F238E27FC236}">
              <a16:creationId xmlns:a16="http://schemas.microsoft.com/office/drawing/2014/main" id="{9648A11F-65F4-9E89-54A4-24B1BFDD4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57</xdr:row>
      <xdr:rowOff>30480</xdr:rowOff>
    </xdr:from>
    <xdr:to>
      <xdr:col>4</xdr:col>
      <xdr:colOff>7620</xdr:colOff>
      <xdr:row>73</xdr:row>
      <xdr:rowOff>45720</xdr:rowOff>
    </xdr:to>
    <xdr:graphicFrame macro="">
      <xdr:nvGraphicFramePr>
        <xdr:cNvPr id="2975" name="Chart 3">
          <a:extLst>
            <a:ext uri="{FF2B5EF4-FFF2-40B4-BE49-F238E27FC236}">
              <a16:creationId xmlns:a16="http://schemas.microsoft.com/office/drawing/2014/main" id="{23D7CAE7-3F46-7951-DE28-F6DC33DAF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Anuario%202001/AEA2000/EXCEL_CAPS/internacional/faostat%20agricola/faoagricola2.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nuario%20Informatica%202008/Anuario%20Web/Anuario%20Tablas%20%20Excel/CAPITULO%2020-1/exec20_5.2.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Anuario%202001/AEA2000/EXCEL_CAPS/A01cap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Anuario%202001/AEA2000/EXCEL_CAPS/serihist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Mis%20documentos/Aea2000definitivo/AEA2000/EXCEL/Bases/A01cap1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ANUA98/ANUA98/A98cap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ANUA98/ANUA98/A98CAP1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Anuario%202001/AEA2000/EXCEL_CAPS/A01cap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Mis%20documentos/AVES%202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Documents%20and%20Settings/rcad/Escritorio/Anuario%202004/AEA2003-C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argomma/CONFIG~1/Temp/Mis%20documentos/Anuario/anuario(02)p/Arlleg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Mis%20documentos\AVES%2020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pab\Mis%20documentos\ANUARIO%20JOSE%20GIL\Anuario%20Informatica%202008\SGEA%202007-2008%20PRECIOESTAD\ANUARIO\Anuario%20Formulas\AEA05_C03%20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78"/>
      <sheetName val="p83"/>
      <sheetName val="p86"/>
      <sheetName val="p94"/>
      <sheetName val="p99"/>
      <sheetName val="p105"/>
      <sheetName val="p110"/>
      <sheetName val="p115"/>
      <sheetName val="p118"/>
      <sheetName val="p122"/>
      <sheetName val="p126"/>
      <sheetName val="p140"/>
      <sheetName val="p147"/>
      <sheetName val="p152"/>
      <sheetName val="p159"/>
      <sheetName val="p162"/>
      <sheetName val="p231"/>
      <sheetName val="p246"/>
      <sheetName val="p276"/>
      <sheetName val="p297"/>
      <sheetName val="p337"/>
      <sheetName val="p352"/>
      <sheetName val="p360"/>
      <sheetName val="p370"/>
      <sheetName val="p14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.5.2.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97.1"/>
      <sheetName val="p197.2"/>
      <sheetName val="p198"/>
      <sheetName val="p199"/>
      <sheetName val="p200"/>
      <sheetName val="p201"/>
      <sheetName val="p203"/>
      <sheetName val="p204"/>
      <sheetName val="p206"/>
      <sheetName val="p208"/>
      <sheetName val="p209"/>
      <sheetName val="p211"/>
      <sheetName val="p213"/>
      <sheetName val="p215"/>
      <sheetName val="p217"/>
      <sheetName val="p219"/>
      <sheetName val="p220"/>
      <sheetName val="p222"/>
      <sheetName val="p224"/>
      <sheetName val="p226"/>
      <sheetName val="p228"/>
      <sheetName val="p229"/>
      <sheetName val="P230tomate"/>
      <sheetName val="p231fao"/>
      <sheetName val="p233"/>
      <sheetName val="p235"/>
      <sheetName val="p237"/>
      <sheetName val="p239"/>
      <sheetName val="p241"/>
      <sheetName val="p243"/>
      <sheetName val="p244"/>
      <sheetName val="p245cebolla"/>
      <sheetName val="p246fao"/>
      <sheetName val="p248"/>
      <sheetName val="p249.2"/>
      <sheetName val="p251"/>
      <sheetName val="p253"/>
      <sheetName val="p25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ADE1"/>
      <sheetName val="GANADE10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26" refreshError="1"/>
      <sheetData sheetId="27" refreshError="1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 refreshError="1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ADE1"/>
      <sheetName val="GANADE2"/>
      <sheetName val="GANADE3"/>
      <sheetName val="p392"/>
      <sheetName val="GANADE5"/>
      <sheetName val="p389"/>
      <sheetName val="GANADE7"/>
      <sheetName val="p396"/>
      <sheetName val="GANADE9"/>
      <sheetName val="GANADE11"/>
      <sheetName val="GANADE12"/>
      <sheetName val="GANADE13"/>
      <sheetName val="GANADE14"/>
      <sheetName val="GANADE15"/>
      <sheetName val="GANADE16"/>
      <sheetName val="GANADE17"/>
      <sheetName val="GANADE18"/>
      <sheetName val="GANADE19"/>
      <sheetName val="GANADE20"/>
      <sheetName val="GANADE4"/>
      <sheetName val="GANADE61"/>
      <sheetName val="GANADE8"/>
    </sheetNames>
    <sheetDataSet>
      <sheetData sheetId="0" refreshError="1">
        <row r="75">
          <cell r="B75" t="str">
            <v>|</v>
          </cell>
        </row>
        <row r="77">
          <cell r="B77" t="str">
            <v>|</v>
          </cell>
        </row>
        <row r="79">
          <cell r="B79" t="str">
            <v>|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2"/>
      <sheetName val="VER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lleg01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2"/>
      <sheetName val="VER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 (04)"/>
      <sheetName val="3.2 (05)"/>
      <sheetName val="3.3"/>
      <sheetName val="3.4 (04)"/>
      <sheetName val="3.4 (05)"/>
      <sheetName val="3.5 (04)"/>
      <sheetName val="3.5 (05)"/>
      <sheetName val="3.6 (04)"/>
      <sheetName val="3.6 (05)"/>
      <sheetName val="3.7 (04)"/>
      <sheetName val="3.7 (05)"/>
      <sheetName val="3.8 (04)"/>
      <sheetName val="3.8 (05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303-C2AC-41BE-B49D-F55C24AAE1FB}">
  <sheetPr codeName="Hoja80">
    <pageSetUpPr fitToPage="1"/>
  </sheetPr>
  <dimension ref="A2:M24"/>
  <sheetViews>
    <sheetView showGridLines="0" zoomScaleNormal="100" zoomScaleSheetLayoutView="100" workbookViewId="0">
      <selection activeCell="J20" sqref="J20"/>
    </sheetView>
  </sheetViews>
  <sheetFormatPr baseColWidth="10" defaultColWidth="11.44140625" defaultRowHeight="15" customHeight="1" x14ac:dyDescent="0.3"/>
  <cols>
    <col min="1" max="1" width="25.6640625" style="7" customWidth="1"/>
    <col min="2" max="6" width="11.109375" style="7" customWidth="1"/>
    <col min="7" max="7" width="14" style="7" customWidth="1"/>
    <col min="8" max="8" width="11.6640625" style="7" customWidth="1"/>
    <col min="9" max="9" width="11.44140625" style="7"/>
    <col min="10" max="10" width="18.88671875" style="7" bestFit="1" customWidth="1"/>
    <col min="11" max="16384" width="11.44140625" style="7"/>
  </cols>
  <sheetData>
    <row r="2" spans="1:13" s="15" customFormat="1" ht="21" customHeight="1" x14ac:dyDescent="0.4">
      <c r="A2" s="65" t="s">
        <v>4</v>
      </c>
      <c r="B2" s="65"/>
      <c r="C2" s="65"/>
      <c r="D2" s="65"/>
      <c r="E2" s="65"/>
      <c r="F2" s="65"/>
      <c r="G2" s="65"/>
      <c r="H2" s="65"/>
    </row>
    <row r="3" spans="1:13" s="16" customFormat="1" ht="21" customHeight="1" thickBot="1" x14ac:dyDescent="0.35">
      <c r="A3" s="18"/>
      <c r="B3" s="18"/>
      <c r="C3" s="18"/>
      <c r="D3" s="18"/>
      <c r="E3" s="18"/>
      <c r="F3" s="18"/>
      <c r="G3" s="18"/>
      <c r="H3" s="18"/>
    </row>
    <row r="4" spans="1:13" s="16" customFormat="1" ht="21" customHeight="1" x14ac:dyDescent="0.3"/>
    <row r="5" spans="1:13" s="16" customFormat="1" ht="21" customHeight="1" x14ac:dyDescent="0.3">
      <c r="A5" s="66" t="s">
        <v>42</v>
      </c>
      <c r="B5" s="66"/>
      <c r="C5" s="66"/>
      <c r="D5" s="66"/>
      <c r="E5" s="66"/>
      <c r="F5" s="66"/>
      <c r="G5" s="66"/>
      <c r="H5" s="66"/>
    </row>
    <row r="6" spans="1:13" s="16" customFormat="1" ht="21" customHeight="1" thickBot="1" x14ac:dyDescent="0.35">
      <c r="A6" s="19"/>
      <c r="B6" s="19"/>
      <c r="C6" s="19"/>
      <c r="D6" s="19"/>
      <c r="E6" s="19"/>
      <c r="F6" s="19"/>
      <c r="G6" s="19"/>
      <c r="H6" s="19"/>
    </row>
    <row r="7" spans="1:13" s="14" customFormat="1" ht="21" customHeight="1" thickBot="1" x14ac:dyDescent="0.3">
      <c r="A7" s="49"/>
      <c r="B7" s="67" t="s">
        <v>30</v>
      </c>
      <c r="C7" s="67"/>
      <c r="D7" s="68"/>
      <c r="E7" s="67" t="s">
        <v>31</v>
      </c>
      <c r="F7" s="68"/>
      <c r="G7" s="67" t="s">
        <v>0</v>
      </c>
      <c r="H7" s="68"/>
    </row>
    <row r="8" spans="1:13" s="14" customFormat="1" ht="28.2" thickBot="1" x14ac:dyDescent="0.3">
      <c r="A8" s="8"/>
      <c r="B8" s="12" t="s">
        <v>1</v>
      </c>
      <c r="C8" s="12" t="s">
        <v>2</v>
      </c>
      <c r="D8" s="12" t="s">
        <v>3</v>
      </c>
      <c r="E8" s="12" t="s">
        <v>1</v>
      </c>
      <c r="F8" s="12" t="s">
        <v>2</v>
      </c>
      <c r="G8" s="12" t="s">
        <v>6</v>
      </c>
      <c r="H8" s="13" t="s">
        <v>5</v>
      </c>
    </row>
    <row r="9" spans="1:13" ht="15" customHeight="1" x14ac:dyDescent="0.3">
      <c r="A9" s="2"/>
      <c r="B9" s="3"/>
      <c r="C9" s="3"/>
      <c r="D9" s="3"/>
      <c r="E9" s="3"/>
      <c r="F9" s="3"/>
      <c r="G9" s="3"/>
      <c r="H9" s="3"/>
    </row>
    <row r="10" spans="1:13" ht="15" customHeight="1" x14ac:dyDescent="0.3">
      <c r="A10" s="1" t="s">
        <v>22</v>
      </c>
      <c r="B10" s="9">
        <v>26236</v>
      </c>
      <c r="C10" s="9">
        <v>2938</v>
      </c>
      <c r="D10" s="9">
        <f>SUM(B10:C10)</f>
        <v>29174</v>
      </c>
      <c r="E10" s="9">
        <v>911.99603598109468</v>
      </c>
      <c r="F10" s="9">
        <v>5004</v>
      </c>
      <c r="G10" s="9">
        <f t="shared" ref="G10:G20" si="0">(B10*E10+C10*F10)/1000</f>
        <v>38628.879999999997</v>
      </c>
      <c r="H10" s="9">
        <v>11962</v>
      </c>
      <c r="M10" s="20"/>
    </row>
    <row r="11" spans="1:13" ht="15" customHeight="1" x14ac:dyDescent="0.3">
      <c r="A11" s="2" t="s">
        <v>21</v>
      </c>
      <c r="B11" s="10">
        <v>179425</v>
      </c>
      <c r="C11" s="10">
        <v>6245</v>
      </c>
      <c r="D11" s="10">
        <f t="shared" ref="D11:D18" si="1">SUM(B11:C11)</f>
        <v>185670</v>
      </c>
      <c r="E11" s="10">
        <v>2637.2894635641633</v>
      </c>
      <c r="F11" s="10">
        <v>5072.2208166533228</v>
      </c>
      <c r="G11" s="10">
        <f t="shared" si="0"/>
        <v>504871.68099999998</v>
      </c>
      <c r="H11" s="10">
        <v>171597</v>
      </c>
    </row>
    <row r="12" spans="1:13" ht="15" customHeight="1" x14ac:dyDescent="0.3">
      <c r="A12" s="1" t="s">
        <v>20</v>
      </c>
      <c r="B12" s="9">
        <v>29553</v>
      </c>
      <c r="C12" s="9">
        <v>15880</v>
      </c>
      <c r="D12" s="9">
        <f t="shared" si="1"/>
        <v>45433</v>
      </c>
      <c r="E12" s="9">
        <v>1224.9390924779211</v>
      </c>
      <c r="F12" s="9">
        <v>6484.4197103274555</v>
      </c>
      <c r="G12" s="9">
        <f t="shared" si="0"/>
        <v>139173.21</v>
      </c>
      <c r="H12" s="9">
        <v>55670</v>
      </c>
    </row>
    <row r="13" spans="1:13" ht="15" customHeight="1" x14ac:dyDescent="0.3">
      <c r="A13" s="2" t="s">
        <v>19</v>
      </c>
      <c r="B13" s="10">
        <v>95429</v>
      </c>
      <c r="C13" s="10">
        <v>21109</v>
      </c>
      <c r="D13" s="10">
        <f t="shared" si="1"/>
        <v>116538</v>
      </c>
      <c r="E13" s="10">
        <v>2528.4084607404457</v>
      </c>
      <c r="F13" s="10">
        <v>5197.1257283623099</v>
      </c>
      <c r="G13" s="10">
        <f t="shared" si="0"/>
        <v>350989.61800000002</v>
      </c>
      <c r="H13" s="10">
        <v>222946</v>
      </c>
    </row>
    <row r="14" spans="1:13" ht="15" customHeight="1" x14ac:dyDescent="0.3">
      <c r="A14" s="1" t="s">
        <v>12</v>
      </c>
      <c r="B14" s="9">
        <v>51583</v>
      </c>
      <c r="C14" s="9">
        <v>5953</v>
      </c>
      <c r="D14" s="9">
        <f t="shared" si="1"/>
        <v>57536</v>
      </c>
      <c r="E14" s="9">
        <v>2299.8968652463022</v>
      </c>
      <c r="F14" s="9">
        <v>5999.580043675458</v>
      </c>
      <c r="G14" s="9">
        <f t="shared" si="0"/>
        <v>154351.07999999999</v>
      </c>
      <c r="H14" s="9">
        <v>101918</v>
      </c>
    </row>
    <row r="15" spans="1:13" ht="15" customHeight="1" x14ac:dyDescent="0.3">
      <c r="A15" s="2" t="s">
        <v>23</v>
      </c>
      <c r="B15" s="10">
        <v>60646</v>
      </c>
      <c r="C15" s="10">
        <v>3014</v>
      </c>
      <c r="D15" s="10">
        <f t="shared" si="1"/>
        <v>63660</v>
      </c>
      <c r="E15" s="10">
        <v>1565.6508096164628</v>
      </c>
      <c r="F15" s="10">
        <v>3000</v>
      </c>
      <c r="G15" s="10">
        <f t="shared" si="0"/>
        <v>103992.459</v>
      </c>
      <c r="H15" s="10">
        <v>62387</v>
      </c>
    </row>
    <row r="16" spans="1:13" ht="15" customHeight="1" x14ac:dyDescent="0.3">
      <c r="A16" s="1" t="s">
        <v>24</v>
      </c>
      <c r="B16" s="9">
        <v>88419</v>
      </c>
      <c r="C16" s="9">
        <v>4210</v>
      </c>
      <c r="D16" s="9">
        <f>SUM(B16:C16)</f>
        <v>92629</v>
      </c>
      <c r="E16" s="9">
        <v>957.99463916126626</v>
      </c>
      <c r="F16" s="9">
        <v>3100</v>
      </c>
      <c r="G16" s="9">
        <f t="shared" si="0"/>
        <v>97755.928</v>
      </c>
      <c r="H16" s="9">
        <v>48878</v>
      </c>
    </row>
    <row r="17" spans="1:10" ht="15" customHeight="1" x14ac:dyDescent="0.3">
      <c r="A17" s="2" t="s">
        <v>15</v>
      </c>
      <c r="B17" s="10">
        <v>89251</v>
      </c>
      <c r="C17" s="10">
        <v>17525</v>
      </c>
      <c r="D17" s="10">
        <f t="shared" si="1"/>
        <v>106776</v>
      </c>
      <c r="E17" s="10">
        <v>1596.6158026240603</v>
      </c>
      <c r="F17" s="10">
        <v>4919.9632524964336</v>
      </c>
      <c r="G17" s="10">
        <f t="shared" si="0"/>
        <v>228721.913</v>
      </c>
      <c r="H17" s="10">
        <v>32445</v>
      </c>
    </row>
    <row r="18" spans="1:10" ht="15" customHeight="1" x14ac:dyDescent="0.3">
      <c r="A18" s="1" t="s">
        <v>25</v>
      </c>
      <c r="B18" s="9">
        <v>46656</v>
      </c>
      <c r="C18" s="9">
        <v>9042</v>
      </c>
      <c r="D18" s="9">
        <f t="shared" si="1"/>
        <v>55698</v>
      </c>
      <c r="E18" s="9">
        <v>1592.8495799039781</v>
      </c>
      <c r="F18" s="9">
        <v>4441</v>
      </c>
      <c r="G18" s="9">
        <f t="shared" si="0"/>
        <v>114471.512</v>
      </c>
      <c r="H18" s="9">
        <v>57237</v>
      </c>
    </row>
    <row r="19" spans="1:10" ht="15" customHeight="1" x14ac:dyDescent="0.3">
      <c r="A19" s="2"/>
      <c r="B19" s="10"/>
      <c r="C19" s="10"/>
      <c r="D19" s="10"/>
      <c r="E19" s="10"/>
      <c r="F19" s="10"/>
      <c r="G19" s="10"/>
      <c r="H19" s="10"/>
    </row>
    <row r="20" spans="1:10" ht="15" customHeight="1" x14ac:dyDescent="0.3">
      <c r="A20" s="4" t="s">
        <v>18</v>
      </c>
      <c r="B20" s="11">
        <f>SUM(B10:B18)</f>
        <v>667198</v>
      </c>
      <c r="C20" s="11">
        <f>SUM(C10:C18)</f>
        <v>85916</v>
      </c>
      <c r="D20" s="11">
        <f>SUM(D10:D18)</f>
        <v>753114</v>
      </c>
      <c r="E20" s="11">
        <f>(B10*E10+B11*E11+B12*E12+B13*E13+B14*E14+B15*E15+B16*E16+B17*E17+B18*E18)/B20</f>
        <v>1933.0295054841292</v>
      </c>
      <c r="F20" s="11">
        <f>(C10*F10+C11*F11+C12*F12+C13*F13+C14*F14+C15*F15+C16*F16+C17*F17+C18*F18)/C20</f>
        <v>5159.0258042739424</v>
      </c>
      <c r="G20" s="11">
        <f t="shared" si="0"/>
        <v>1732956.281</v>
      </c>
      <c r="H20" s="11">
        <f>SUM(H10:H18)</f>
        <v>765040</v>
      </c>
      <c r="J20" s="59"/>
    </row>
    <row r="21" spans="1:10" ht="15" customHeight="1" thickBot="1" x14ac:dyDescent="0.35">
      <c r="A21" s="5"/>
      <c r="B21" s="6"/>
      <c r="C21" s="6"/>
      <c r="D21" s="6"/>
      <c r="E21" s="6"/>
      <c r="F21" s="6"/>
      <c r="G21" s="6"/>
      <c r="H21" s="6"/>
    </row>
    <row r="24" spans="1:10" ht="15" customHeight="1" x14ac:dyDescent="0.3">
      <c r="H24" s="17"/>
    </row>
  </sheetData>
  <mergeCells count="5">
    <mergeCell ref="A2:H2"/>
    <mergeCell ref="A5:H5"/>
    <mergeCell ref="E7:F7"/>
    <mergeCell ref="B7:D7"/>
    <mergeCell ref="G7:H7"/>
  </mergeCells>
  <phoneticPr fontId="3" type="noConversion"/>
  <printOptions horizontalCentered="1"/>
  <pageMargins left="0.78740157480314965" right="0.78740157480314965" top="0.78740157480314965" bottom="0.78740157480314965" header="0.47244094488188981" footer="0.51181102362204722"/>
  <pageSetup paperSize="9" scale="81" fitToHeight="2" orientation="portrait" r:id="rId1"/>
  <headerFooter alignWithMargins="0"/>
  <rowBreaks count="1" manualBreakCount="1">
    <brk id="2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598A-C70A-41A6-AE36-0EE96F7620C3}">
  <sheetPr codeName="Hoja84"/>
  <dimension ref="A2:K27"/>
  <sheetViews>
    <sheetView showGridLines="0" zoomScaleNormal="100" workbookViewId="0">
      <selection activeCell="K24" sqref="K24"/>
    </sheetView>
  </sheetViews>
  <sheetFormatPr baseColWidth="10" defaultColWidth="11.44140625" defaultRowHeight="15" customHeight="1" x14ac:dyDescent="0.3"/>
  <cols>
    <col min="1" max="1" width="9.44140625" style="7" customWidth="1"/>
    <col min="2" max="10" width="10.109375" style="7" customWidth="1"/>
    <col min="11" max="11" width="11.109375" style="7" bestFit="1" customWidth="1"/>
    <col min="12" max="16384" width="11.44140625" style="7"/>
  </cols>
  <sheetData>
    <row r="2" spans="1:11" s="15" customFormat="1" ht="21" customHeight="1" x14ac:dyDescent="0.4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s="16" customFormat="1" ht="21" customHeight="1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21" customHeight="1" x14ac:dyDescent="0.3"/>
    <row r="5" spans="1:11" s="16" customFormat="1" ht="21" customHeight="1" x14ac:dyDescent="0.3">
      <c r="A5" s="66" t="s">
        <v>41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s="16" customFormat="1" ht="21" customHeight="1" thickBot="1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8" customFormat="1" ht="21" customHeight="1" thickBot="1" x14ac:dyDescent="0.3">
      <c r="A7" s="69" t="s">
        <v>7</v>
      </c>
      <c r="B7" s="67" t="s">
        <v>29</v>
      </c>
      <c r="C7" s="67"/>
      <c r="D7" s="67"/>
      <c r="E7" s="67"/>
      <c r="F7" s="67"/>
      <c r="G7" s="67"/>
      <c r="H7" s="67"/>
      <c r="I7" s="67"/>
      <c r="J7" s="67"/>
      <c r="K7" s="67"/>
    </row>
    <row r="8" spans="1:11" s="14" customFormat="1" ht="28.2" thickBot="1" x14ac:dyDescent="0.3">
      <c r="A8" s="70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1" ht="15" customHeight="1" x14ac:dyDescent="0.3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3">
      <c r="A10" s="34">
        <v>2010</v>
      </c>
      <c r="B10" s="35">
        <v>30499</v>
      </c>
      <c r="C10" s="35">
        <v>204840</v>
      </c>
      <c r="D10" s="35">
        <v>46150</v>
      </c>
      <c r="E10" s="35">
        <v>95110</v>
      </c>
      <c r="F10" s="35">
        <v>59534</v>
      </c>
      <c r="G10" s="35">
        <v>55990</v>
      </c>
      <c r="H10" s="35">
        <v>96235</v>
      </c>
      <c r="I10" s="35">
        <v>50855</v>
      </c>
      <c r="J10" s="35">
        <v>57347</v>
      </c>
      <c r="K10" s="35">
        <v>696560</v>
      </c>
    </row>
    <row r="11" spans="1:11" ht="15" customHeight="1" x14ac:dyDescent="0.3">
      <c r="A11" s="33">
        <v>2011</v>
      </c>
      <c r="B11" s="36">
        <v>34687</v>
      </c>
      <c r="C11" s="36">
        <v>208121</v>
      </c>
      <c r="D11" s="36">
        <v>49413</v>
      </c>
      <c r="E11" s="36">
        <v>99584</v>
      </c>
      <c r="F11" s="36">
        <v>65812</v>
      </c>
      <c r="G11" s="36">
        <v>63150</v>
      </c>
      <c r="H11" s="36">
        <v>100917</v>
      </c>
      <c r="I11" s="36">
        <v>62763</v>
      </c>
      <c r="J11" s="36">
        <v>57187</v>
      </c>
      <c r="K11" s="36">
        <v>741634</v>
      </c>
    </row>
    <row r="12" spans="1:11" ht="15" customHeight="1" x14ac:dyDescent="0.3">
      <c r="A12" s="34">
        <v>2012</v>
      </c>
      <c r="B12" s="35">
        <v>32889</v>
      </c>
      <c r="C12" s="35">
        <v>219643</v>
      </c>
      <c r="D12" s="35">
        <v>53430</v>
      </c>
      <c r="E12" s="35">
        <v>112494</v>
      </c>
      <c r="F12" s="35">
        <v>65319</v>
      </c>
      <c r="G12" s="35">
        <v>66794</v>
      </c>
      <c r="H12" s="35">
        <v>100199</v>
      </c>
      <c r="I12" s="35">
        <v>71488</v>
      </c>
      <c r="J12" s="35">
        <v>61490</v>
      </c>
      <c r="K12" s="35">
        <v>783746</v>
      </c>
    </row>
    <row r="13" spans="1:11" ht="15" customHeight="1" x14ac:dyDescent="0.3">
      <c r="A13" s="33">
        <v>2013</v>
      </c>
      <c r="B13" s="36">
        <v>34120</v>
      </c>
      <c r="C13" s="36">
        <v>220982</v>
      </c>
      <c r="D13" s="36">
        <v>60224</v>
      </c>
      <c r="E13" s="36">
        <v>119384</v>
      </c>
      <c r="F13" s="36">
        <v>65759</v>
      </c>
      <c r="G13" s="36">
        <v>69894</v>
      </c>
      <c r="H13" s="36">
        <v>102011</v>
      </c>
      <c r="I13" s="36">
        <v>79214</v>
      </c>
      <c r="J13" s="36">
        <v>67871</v>
      </c>
      <c r="K13" s="36">
        <v>819459</v>
      </c>
    </row>
    <row r="14" spans="1:11" ht="15" customHeight="1" x14ac:dyDescent="0.3">
      <c r="A14" s="34">
        <v>2014</v>
      </c>
      <c r="B14" s="35">
        <v>38869</v>
      </c>
      <c r="C14" s="35">
        <v>233607</v>
      </c>
      <c r="D14" s="35">
        <v>62771</v>
      </c>
      <c r="E14" s="35">
        <v>125876</v>
      </c>
      <c r="F14" s="35">
        <v>76722</v>
      </c>
      <c r="G14" s="35">
        <v>71511</v>
      </c>
      <c r="H14" s="35">
        <v>106283</v>
      </c>
      <c r="I14" s="35">
        <v>94699</v>
      </c>
      <c r="J14" s="35">
        <v>74739</v>
      </c>
      <c r="K14" s="35">
        <v>885077</v>
      </c>
    </row>
    <row r="15" spans="1:11" ht="15" customHeight="1" x14ac:dyDescent="0.3">
      <c r="A15" s="33">
        <v>2015</v>
      </c>
      <c r="B15" s="36">
        <v>39214</v>
      </c>
      <c r="C15" s="36">
        <v>214211</v>
      </c>
      <c r="D15" s="36">
        <v>57607</v>
      </c>
      <c r="E15" s="36">
        <v>127182</v>
      </c>
      <c r="F15" s="36">
        <v>72952</v>
      </c>
      <c r="G15" s="36">
        <v>73299</v>
      </c>
      <c r="H15" s="36">
        <v>103555</v>
      </c>
      <c r="I15" s="36">
        <v>101092</v>
      </c>
      <c r="J15" s="36">
        <v>76170</v>
      </c>
      <c r="K15" s="36">
        <v>865282</v>
      </c>
    </row>
    <row r="16" spans="1:11" ht="15" customHeight="1" x14ac:dyDescent="0.3">
      <c r="A16" s="34">
        <v>2016</v>
      </c>
      <c r="B16" s="35">
        <v>38921</v>
      </c>
      <c r="C16" s="35">
        <v>232314</v>
      </c>
      <c r="D16" s="35">
        <v>58765</v>
      </c>
      <c r="E16" s="35">
        <v>132696</v>
      </c>
      <c r="F16" s="35">
        <v>75382</v>
      </c>
      <c r="G16" s="35">
        <v>74627</v>
      </c>
      <c r="H16" s="35">
        <v>108324</v>
      </c>
      <c r="I16" s="35">
        <v>111064</v>
      </c>
      <c r="J16" s="35">
        <v>72810</v>
      </c>
      <c r="K16" s="35">
        <v>904903</v>
      </c>
    </row>
    <row r="17" spans="1:11" ht="15" customHeight="1" x14ac:dyDescent="0.3">
      <c r="A17" s="33">
        <v>2017</v>
      </c>
      <c r="B17" s="36">
        <v>35880</v>
      </c>
      <c r="C17" s="36">
        <v>220567</v>
      </c>
      <c r="D17" s="36">
        <v>62635</v>
      </c>
      <c r="E17" s="36">
        <v>128471</v>
      </c>
      <c r="F17" s="36">
        <v>60339</v>
      </c>
      <c r="G17" s="36">
        <v>74448</v>
      </c>
      <c r="H17" s="36">
        <v>96535</v>
      </c>
      <c r="I17" s="36">
        <v>108595</v>
      </c>
      <c r="J17" s="36">
        <v>71167</v>
      </c>
      <c r="K17" s="36">
        <v>858637</v>
      </c>
    </row>
    <row r="18" spans="1:11" ht="15" customHeight="1" x14ac:dyDescent="0.3">
      <c r="A18" s="34">
        <v>2018</v>
      </c>
      <c r="B18" s="35">
        <v>34914</v>
      </c>
      <c r="C18" s="35">
        <v>223392</v>
      </c>
      <c r="D18" s="35">
        <v>65671</v>
      </c>
      <c r="E18" s="35">
        <v>130666</v>
      </c>
      <c r="F18" s="35">
        <v>71513</v>
      </c>
      <c r="G18" s="35">
        <v>72762</v>
      </c>
      <c r="H18" s="35">
        <v>100921</v>
      </c>
      <c r="I18" s="35">
        <v>109602</v>
      </c>
      <c r="J18" s="35">
        <v>68184</v>
      </c>
      <c r="K18" s="35">
        <v>877625</v>
      </c>
    </row>
    <row r="19" spans="1:11" ht="15" customHeight="1" x14ac:dyDescent="0.3">
      <c r="A19" s="33">
        <v>2019</v>
      </c>
      <c r="B19" s="36">
        <v>33257</v>
      </c>
      <c r="C19" s="36">
        <v>211108</v>
      </c>
      <c r="D19" s="36">
        <v>51622</v>
      </c>
      <c r="E19" s="36">
        <v>114418</v>
      </c>
      <c r="F19" s="36">
        <v>57844</v>
      </c>
      <c r="G19" s="36">
        <v>71677</v>
      </c>
      <c r="H19" s="36">
        <v>98709</v>
      </c>
      <c r="I19" s="36">
        <v>100384</v>
      </c>
      <c r="J19" s="36">
        <v>62847</v>
      </c>
      <c r="K19" s="36">
        <v>801866</v>
      </c>
    </row>
    <row r="20" spans="1:11" ht="15" customHeight="1" x14ac:dyDescent="0.3">
      <c r="A20" s="34">
        <v>2020</v>
      </c>
      <c r="B20" s="35">
        <v>33504</v>
      </c>
      <c r="C20" s="35">
        <v>184512</v>
      </c>
      <c r="D20" s="35">
        <v>53660</v>
      </c>
      <c r="E20" s="35">
        <v>118163</v>
      </c>
      <c r="F20" s="35">
        <v>69243</v>
      </c>
      <c r="G20" s="35">
        <v>66664</v>
      </c>
      <c r="H20" s="35">
        <v>87757</v>
      </c>
      <c r="I20" s="35">
        <v>105117</v>
      </c>
      <c r="J20" s="35">
        <v>69636</v>
      </c>
      <c r="K20" s="35">
        <v>788256</v>
      </c>
    </row>
    <row r="21" spans="1:11" ht="15" customHeight="1" x14ac:dyDescent="0.3">
      <c r="A21" s="33">
        <v>2021</v>
      </c>
      <c r="B21" s="36">
        <v>36833</v>
      </c>
      <c r="C21" s="36">
        <v>226802</v>
      </c>
      <c r="D21" s="36">
        <v>51362</v>
      </c>
      <c r="E21" s="36">
        <v>138097</v>
      </c>
      <c r="F21" s="36">
        <v>72839</v>
      </c>
      <c r="G21" s="36">
        <v>76902</v>
      </c>
      <c r="H21" s="36">
        <v>115405</v>
      </c>
      <c r="I21" s="36">
        <v>118996</v>
      </c>
      <c r="J21" s="36">
        <v>70616</v>
      </c>
      <c r="K21" s="36">
        <v>907852</v>
      </c>
    </row>
    <row r="22" spans="1:11" ht="15" customHeight="1" x14ac:dyDescent="0.3">
      <c r="A22" s="34">
        <v>2022</v>
      </c>
      <c r="B22" s="35">
        <v>36151</v>
      </c>
      <c r="C22" s="35">
        <v>211245</v>
      </c>
      <c r="D22" s="35">
        <v>59097</v>
      </c>
      <c r="E22" s="35">
        <v>137192</v>
      </c>
      <c r="F22" s="35">
        <v>70526</v>
      </c>
      <c r="G22" s="35">
        <v>69503</v>
      </c>
      <c r="H22" s="35">
        <v>111510</v>
      </c>
      <c r="I22" s="35">
        <v>123250</v>
      </c>
      <c r="J22" s="35">
        <v>76821</v>
      </c>
      <c r="K22" s="35">
        <v>895295</v>
      </c>
    </row>
    <row r="23" spans="1:11" ht="15" customHeight="1" x14ac:dyDescent="0.3">
      <c r="A23" s="33">
        <v>2023</v>
      </c>
      <c r="B23" s="64">
        <f t="array" ref="B23:J23">TRANSPOSE('2.1.2.1'!D10:D18)</f>
        <v>29174</v>
      </c>
      <c r="C23" s="64">
        <v>185670</v>
      </c>
      <c r="D23" s="64">
        <v>45433</v>
      </c>
      <c r="E23" s="64">
        <v>116538</v>
      </c>
      <c r="F23" s="64">
        <v>57536</v>
      </c>
      <c r="G23" s="64">
        <v>63660</v>
      </c>
      <c r="H23" s="64">
        <v>92629</v>
      </c>
      <c r="I23" s="64">
        <v>106776</v>
      </c>
      <c r="J23" s="64">
        <v>55698</v>
      </c>
      <c r="K23" s="64">
        <f>'2.1.2.1'!D20</f>
        <v>753114</v>
      </c>
    </row>
    <row r="24" spans="1:11" ht="15" customHeight="1" thickBot="1" x14ac:dyDescent="0.3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</row>
    <row r="26" spans="1:11" ht="15" customHeight="1" x14ac:dyDescent="0.3">
      <c r="B26" s="57"/>
      <c r="C26" s="57"/>
      <c r="D26" s="57"/>
      <c r="E26" s="57"/>
      <c r="F26" s="57"/>
      <c r="G26" s="57"/>
      <c r="H26" s="57"/>
      <c r="I26" s="57"/>
      <c r="J26" s="57"/>
      <c r="K26" s="57"/>
    </row>
    <row r="27" spans="1:11" ht="15" customHeight="1" x14ac:dyDescent="0.3">
      <c r="B27" s="30"/>
      <c r="C27" s="30"/>
      <c r="D27" s="30"/>
      <c r="E27" s="30"/>
      <c r="F27" s="30"/>
      <c r="G27" s="30"/>
      <c r="H27" s="30"/>
      <c r="I27" s="30"/>
      <c r="J27" s="30"/>
      <c r="K27" s="21"/>
    </row>
  </sheetData>
  <mergeCells count="4"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EC69-D6B7-49B1-8EFE-3E6F7D2BBEAA}">
  <sheetPr codeName="Hoja85"/>
  <dimension ref="A2:L27"/>
  <sheetViews>
    <sheetView showGridLines="0" topLeftCell="A9" zoomScaleNormal="100" workbookViewId="0">
      <selection activeCell="K24" sqref="K24"/>
    </sheetView>
  </sheetViews>
  <sheetFormatPr baseColWidth="10" defaultColWidth="11.44140625" defaultRowHeight="15" customHeight="1" x14ac:dyDescent="0.3"/>
  <cols>
    <col min="1" max="1" width="9.44140625" style="7" customWidth="1"/>
    <col min="2" max="10" width="10.109375" style="7" customWidth="1"/>
    <col min="11" max="11" width="11.88671875" style="7" bestFit="1" customWidth="1"/>
    <col min="12" max="16384" width="11.44140625" style="7"/>
  </cols>
  <sheetData>
    <row r="2" spans="1:12" s="15" customFormat="1" ht="21" customHeight="1" x14ac:dyDescent="0.4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s="16" customFormat="1" ht="21" customHeight="1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2" s="16" customFormat="1" ht="21" customHeight="1" x14ac:dyDescent="0.3"/>
    <row r="5" spans="1:12" s="16" customFormat="1" ht="21" customHeight="1" x14ac:dyDescent="0.3">
      <c r="A5" s="66" t="s">
        <v>40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2" s="16" customFormat="1" ht="21" customHeight="1" thickBot="1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2" s="48" customFormat="1" ht="21" customHeight="1" thickBot="1" x14ac:dyDescent="0.3">
      <c r="A7" s="69" t="s">
        <v>7</v>
      </c>
      <c r="B7" s="67" t="s">
        <v>28</v>
      </c>
      <c r="C7" s="67"/>
      <c r="D7" s="67"/>
      <c r="E7" s="67"/>
      <c r="F7" s="67"/>
      <c r="G7" s="67"/>
      <c r="H7" s="67"/>
      <c r="I7" s="67"/>
      <c r="J7" s="67"/>
      <c r="K7" s="67"/>
    </row>
    <row r="8" spans="1:12" s="14" customFormat="1" ht="28.2" thickBot="1" x14ac:dyDescent="0.3">
      <c r="A8" s="70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2" ht="15" customHeight="1" x14ac:dyDescent="0.3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2" ht="15" customHeight="1" x14ac:dyDescent="0.3">
      <c r="A10" s="34">
        <v>2010</v>
      </c>
      <c r="B10" s="35">
        <v>79060.154999999999</v>
      </c>
      <c r="C10" s="35">
        <v>893478.46</v>
      </c>
      <c r="D10" s="35">
        <v>186903.4</v>
      </c>
      <c r="E10" s="35">
        <v>346229.71205000003</v>
      </c>
      <c r="F10" s="35">
        <v>167953.89499999999</v>
      </c>
      <c r="G10" s="35">
        <v>187456.4</v>
      </c>
      <c r="H10" s="35">
        <v>370080.6</v>
      </c>
      <c r="I10" s="35">
        <v>164350.26999999999</v>
      </c>
      <c r="J10" s="35">
        <v>129317.23299999999</v>
      </c>
      <c r="K10" s="35">
        <v>2524830.1250499999</v>
      </c>
    </row>
    <row r="11" spans="1:12" ht="15" customHeight="1" x14ac:dyDescent="0.3">
      <c r="A11" s="33">
        <v>2011</v>
      </c>
      <c r="B11" s="36">
        <v>122892.25900000001</v>
      </c>
      <c r="C11" s="36">
        <v>954635.03599999996</v>
      </c>
      <c r="D11" s="36">
        <v>200159.05</v>
      </c>
      <c r="E11" s="36">
        <v>415279.48800000001</v>
      </c>
      <c r="F11" s="36">
        <v>238640.04500000001</v>
      </c>
      <c r="G11" s="36">
        <v>224616</v>
      </c>
      <c r="H11" s="36">
        <v>396674.93099999998</v>
      </c>
      <c r="I11" s="36">
        <v>239276.26</v>
      </c>
      <c r="J11" s="36">
        <v>188760.05300000001</v>
      </c>
      <c r="K11" s="36">
        <v>2980933.122</v>
      </c>
    </row>
    <row r="12" spans="1:12" ht="15" customHeight="1" x14ac:dyDescent="0.3">
      <c r="A12" s="34">
        <v>2012</v>
      </c>
      <c r="B12" s="35">
        <v>73610.5</v>
      </c>
      <c r="C12" s="35">
        <v>848990.47100000002</v>
      </c>
      <c r="D12" s="35">
        <v>212407.25</v>
      </c>
      <c r="E12" s="35">
        <v>308954.59299999999</v>
      </c>
      <c r="F12" s="35">
        <v>173648.47</v>
      </c>
      <c r="G12" s="35">
        <v>155086.79</v>
      </c>
      <c r="H12" s="35">
        <v>139309.209</v>
      </c>
      <c r="I12" s="35">
        <v>188361.484</v>
      </c>
      <c r="J12" s="35">
        <v>181945.29699999999</v>
      </c>
      <c r="K12" s="35">
        <v>2282314.0639999998</v>
      </c>
    </row>
    <row r="13" spans="1:12" ht="15" customHeight="1" x14ac:dyDescent="0.3">
      <c r="A13" s="33">
        <v>2013</v>
      </c>
      <c r="B13" s="36">
        <v>106992.94</v>
      </c>
      <c r="C13" s="36">
        <v>1044139.9939999999</v>
      </c>
      <c r="D13" s="36">
        <v>268408.73</v>
      </c>
      <c r="E13" s="36">
        <v>537470.62600000005</v>
      </c>
      <c r="F13" s="36">
        <v>226811.50400000002</v>
      </c>
      <c r="G13" s="36">
        <v>253037.57800000001</v>
      </c>
      <c r="H13" s="36">
        <v>410688.05800000002</v>
      </c>
      <c r="I13" s="36">
        <v>330110.11099999998</v>
      </c>
      <c r="J13" s="36">
        <v>265530.82299999997</v>
      </c>
      <c r="K13" s="36">
        <v>3443190.3640000005</v>
      </c>
      <c r="L13" s="57"/>
    </row>
    <row r="14" spans="1:12" ht="15" customHeight="1" x14ac:dyDescent="0.3">
      <c r="A14" s="34">
        <v>2014</v>
      </c>
      <c r="B14" s="35">
        <v>72308.917000000001</v>
      </c>
      <c r="C14" s="35">
        <v>977237.81499999994</v>
      </c>
      <c r="D14" s="35">
        <v>222723.861</v>
      </c>
      <c r="E14" s="35">
        <v>420471.33399999997</v>
      </c>
      <c r="F14" s="35">
        <v>184430.93299999999</v>
      </c>
      <c r="G14" s="35">
        <v>160046.15900000001</v>
      </c>
      <c r="H14" s="35">
        <v>299746.13199999998</v>
      </c>
      <c r="I14" s="35">
        <v>270698.57</v>
      </c>
      <c r="J14" s="35">
        <v>176672.33699999997</v>
      </c>
      <c r="K14" s="35">
        <v>2784336.0579999993</v>
      </c>
    </row>
    <row r="15" spans="1:12" ht="15" customHeight="1" x14ac:dyDescent="0.3">
      <c r="A15" s="33">
        <v>2015</v>
      </c>
      <c r="B15" s="36">
        <v>104344.71799999999</v>
      </c>
      <c r="C15" s="36">
        <v>824401.93599999999</v>
      </c>
      <c r="D15" s="36">
        <v>243910.8</v>
      </c>
      <c r="E15" s="36">
        <v>451841.022</v>
      </c>
      <c r="F15" s="36">
        <v>197381.83000000002</v>
      </c>
      <c r="G15" s="36">
        <v>186050.96399999998</v>
      </c>
      <c r="H15" s="36">
        <v>290747.64800000004</v>
      </c>
      <c r="I15" s="36">
        <v>326876.84000000003</v>
      </c>
      <c r="J15" s="36">
        <v>211217.97700000001</v>
      </c>
      <c r="K15" s="36">
        <v>2836773.7349999994</v>
      </c>
    </row>
    <row r="16" spans="1:12" ht="15" customHeight="1" x14ac:dyDescent="0.3">
      <c r="A16" s="34">
        <v>2016</v>
      </c>
      <c r="B16" s="35">
        <v>126872.261</v>
      </c>
      <c r="C16" s="35">
        <v>1099547.82</v>
      </c>
      <c r="D16" s="35">
        <v>292423.29399999999</v>
      </c>
      <c r="E16" s="35">
        <v>623832.41399999999</v>
      </c>
      <c r="F16" s="35">
        <v>304261.01899999997</v>
      </c>
      <c r="G16" s="35">
        <v>246853.88099999999</v>
      </c>
      <c r="H16" s="35">
        <v>419606.30099999998</v>
      </c>
      <c r="I16" s="35">
        <v>551756.24600000004</v>
      </c>
      <c r="J16" s="35">
        <v>315149.69099999999</v>
      </c>
      <c r="K16" s="35">
        <v>3980302.9269999997</v>
      </c>
    </row>
    <row r="17" spans="1:12" ht="15" customHeight="1" x14ac:dyDescent="0.3">
      <c r="A17" s="33">
        <v>2017</v>
      </c>
      <c r="B17" s="36">
        <v>27930.201000000001</v>
      </c>
      <c r="C17" s="36">
        <v>592471.81700000004</v>
      </c>
      <c r="D17" s="36">
        <v>135042.22500000001</v>
      </c>
      <c r="E17" s="36">
        <v>194930.59</v>
      </c>
      <c r="F17" s="36">
        <v>80515.043000000005</v>
      </c>
      <c r="G17" s="36">
        <v>79089.442999999999</v>
      </c>
      <c r="H17" s="36">
        <v>173144.21799999999</v>
      </c>
      <c r="I17" s="36">
        <v>136161.37299999999</v>
      </c>
      <c r="J17" s="36">
        <v>85791.665999999997</v>
      </c>
      <c r="K17" s="36">
        <v>1505076.5759999999</v>
      </c>
    </row>
    <row r="18" spans="1:12" ht="15" customHeight="1" x14ac:dyDescent="0.3">
      <c r="A18" s="34">
        <v>2018</v>
      </c>
      <c r="B18" s="35">
        <v>120199.376</v>
      </c>
      <c r="C18" s="35">
        <v>1026594.78</v>
      </c>
      <c r="D18" s="35">
        <v>319786.88199999998</v>
      </c>
      <c r="E18" s="35">
        <v>555754.10800000001</v>
      </c>
      <c r="F18" s="35">
        <v>289097.54700000002</v>
      </c>
      <c r="G18" s="35">
        <v>231744.954</v>
      </c>
      <c r="H18" s="35">
        <v>370382.05499999999</v>
      </c>
      <c r="I18" s="35">
        <v>442456.81</v>
      </c>
      <c r="J18" s="35">
        <v>259519.89199999999</v>
      </c>
      <c r="K18" s="35">
        <v>3615536.4040000001</v>
      </c>
    </row>
    <row r="19" spans="1:12" ht="15" customHeight="1" x14ac:dyDescent="0.3">
      <c r="A19" s="33">
        <v>2019</v>
      </c>
      <c r="B19" s="36">
        <v>51848.237000000001</v>
      </c>
      <c r="C19" s="36">
        <v>798085.049</v>
      </c>
      <c r="D19" s="36">
        <v>183774.33</v>
      </c>
      <c r="E19" s="36">
        <v>365437.02600000001</v>
      </c>
      <c r="F19" s="36">
        <v>108712.836</v>
      </c>
      <c r="G19" s="36">
        <v>156730.39300000001</v>
      </c>
      <c r="H19" s="36">
        <v>305396.136</v>
      </c>
      <c r="I19" s="36">
        <v>210558.87400000001</v>
      </c>
      <c r="J19" s="36">
        <v>159112.98300000001</v>
      </c>
      <c r="K19" s="36">
        <v>2339655.8639999996</v>
      </c>
    </row>
    <row r="20" spans="1:12" ht="15" customHeight="1" x14ac:dyDescent="0.3">
      <c r="A20" s="34">
        <v>2020</v>
      </c>
      <c r="B20" s="35">
        <v>146160.17300000001</v>
      </c>
      <c r="C20" s="35">
        <v>967007.55900000001</v>
      </c>
      <c r="D20" s="35">
        <v>244967</v>
      </c>
      <c r="E20" s="35">
        <v>454754.22499999998</v>
      </c>
      <c r="F20" s="35">
        <v>287132.766</v>
      </c>
      <c r="G20" s="35">
        <v>270593.26</v>
      </c>
      <c r="H20" s="35">
        <v>381549.57699999999</v>
      </c>
      <c r="I20" s="35">
        <v>516277.022</v>
      </c>
      <c r="J20" s="35">
        <v>301109.94</v>
      </c>
      <c r="K20" s="35">
        <v>3569551.5219999999</v>
      </c>
    </row>
    <row r="21" spans="1:12" ht="15" customHeight="1" x14ac:dyDescent="0.3">
      <c r="A21" s="33">
        <v>2021</v>
      </c>
      <c r="B21" s="36">
        <v>125471.016</v>
      </c>
      <c r="C21" s="36">
        <v>1125896.469</v>
      </c>
      <c r="D21" s="36">
        <v>219624.89</v>
      </c>
      <c r="E21" s="36">
        <v>628456.875</v>
      </c>
      <c r="F21" s="36">
        <v>264765.348</v>
      </c>
      <c r="G21" s="36">
        <v>271030.37199999997</v>
      </c>
      <c r="H21" s="36">
        <v>482031.42700000003</v>
      </c>
      <c r="I21" s="36">
        <v>481529.08799999999</v>
      </c>
      <c r="J21" s="36">
        <v>284529.91100000002</v>
      </c>
      <c r="K21" s="36">
        <v>3883335.3960000002</v>
      </c>
    </row>
    <row r="22" spans="1:12" ht="15" customHeight="1" x14ac:dyDescent="0.3">
      <c r="A22" s="34">
        <v>2022</v>
      </c>
      <c r="B22" s="35">
        <v>75418.952999999994</v>
      </c>
      <c r="C22" s="35">
        <v>713607.04299999995</v>
      </c>
      <c r="D22" s="35">
        <v>199461.81</v>
      </c>
      <c r="E22" s="35">
        <v>503486.89</v>
      </c>
      <c r="F22" s="35">
        <v>207313.57</v>
      </c>
      <c r="G22" s="35">
        <v>166734.5</v>
      </c>
      <c r="H22" s="35">
        <v>256330.774</v>
      </c>
      <c r="I22" s="35">
        <v>360023.83899999998</v>
      </c>
      <c r="J22" s="35">
        <v>147179.378</v>
      </c>
      <c r="K22" s="35">
        <v>2629556.7570000002</v>
      </c>
    </row>
    <row r="23" spans="1:12" ht="15" customHeight="1" x14ac:dyDescent="0.3">
      <c r="A23" s="33">
        <v>2023</v>
      </c>
      <c r="B23" s="64">
        <f t="array" ref="B23:J23">TRANSPOSE('2.1.2.1'!G10:G18)</f>
        <v>38628.879999999997</v>
      </c>
      <c r="C23" s="64">
        <v>504871.68099999998</v>
      </c>
      <c r="D23" s="64">
        <v>139173.21</v>
      </c>
      <c r="E23" s="64">
        <v>350989.61800000002</v>
      </c>
      <c r="F23" s="64">
        <v>154351.07999999999</v>
      </c>
      <c r="G23" s="64">
        <v>103992.459</v>
      </c>
      <c r="H23" s="64">
        <v>97755.928</v>
      </c>
      <c r="I23" s="64">
        <v>228721.913</v>
      </c>
      <c r="J23" s="64">
        <v>114471.512</v>
      </c>
      <c r="K23" s="64">
        <f>'2.1.2.1'!G20</f>
        <v>1732956.281</v>
      </c>
    </row>
    <row r="24" spans="1:12" ht="15" customHeight="1" thickBot="1" x14ac:dyDescent="0.3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</row>
    <row r="26" spans="1:12" s="29" customFormat="1" ht="15" customHeight="1" x14ac:dyDescent="0.2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2" ht="15" customHeight="1" x14ac:dyDescent="0.3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21"/>
    </row>
  </sheetData>
  <mergeCells count="4"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1650-04AE-47F9-B30F-721DFE73DBAA}">
  <sheetPr codeName="Hoja81"/>
  <dimension ref="A2:I83"/>
  <sheetViews>
    <sheetView showGridLines="0" tabSelected="1" zoomScaleNormal="100" workbookViewId="0">
      <selection activeCell="D24" sqref="D24"/>
    </sheetView>
  </sheetViews>
  <sheetFormatPr baseColWidth="10" defaultColWidth="11.44140625" defaultRowHeight="15" customHeight="1" x14ac:dyDescent="0.3"/>
  <cols>
    <col min="1" max="4" width="21.5546875" style="7" customWidth="1"/>
    <col min="5" max="16384" width="11.44140625" style="7"/>
  </cols>
  <sheetData>
    <row r="2" spans="1:9" s="15" customFormat="1" ht="21" customHeight="1" x14ac:dyDescent="0.4">
      <c r="A2" s="65" t="s">
        <v>4</v>
      </c>
      <c r="B2" s="65"/>
      <c r="C2" s="65"/>
      <c r="D2" s="65"/>
      <c r="E2" s="22"/>
      <c r="F2" s="16"/>
      <c r="G2" s="23"/>
      <c r="H2" s="23"/>
      <c r="I2" s="23"/>
    </row>
    <row r="3" spans="1:9" s="16" customFormat="1" ht="21" customHeight="1" thickBot="1" x14ac:dyDescent="0.35">
      <c r="A3" s="18"/>
      <c r="B3" s="18"/>
      <c r="C3" s="18"/>
      <c r="D3" s="18"/>
      <c r="E3" s="24"/>
    </row>
    <row r="4" spans="1:9" s="16" customFormat="1" ht="21" customHeight="1" x14ac:dyDescent="0.3"/>
    <row r="5" spans="1:9" s="16" customFormat="1" ht="21" customHeight="1" x14ac:dyDescent="0.3">
      <c r="A5" s="19" t="s">
        <v>39</v>
      </c>
      <c r="B5" s="19"/>
      <c r="C5" s="19"/>
      <c r="D5" s="25"/>
    </row>
    <row r="6" spans="1:9" ht="21" customHeight="1" thickBot="1" x14ac:dyDescent="0.35">
      <c r="A6" s="26"/>
      <c r="B6" s="26"/>
      <c r="C6" s="26"/>
      <c r="D6" s="26"/>
    </row>
    <row r="7" spans="1:9" s="14" customFormat="1" ht="26.25" customHeight="1" x14ac:dyDescent="0.25">
      <c r="A7" s="71" t="s">
        <v>7</v>
      </c>
      <c r="B7" s="71" t="s">
        <v>29</v>
      </c>
      <c r="C7" s="71" t="s">
        <v>28</v>
      </c>
      <c r="D7" s="73" t="s">
        <v>33</v>
      </c>
    </row>
    <row r="8" spans="1:9" s="14" customFormat="1" ht="18.75" customHeight="1" thickBot="1" x14ac:dyDescent="0.3">
      <c r="A8" s="72"/>
      <c r="B8" s="72"/>
      <c r="C8" s="72"/>
      <c r="D8" s="72"/>
    </row>
    <row r="9" spans="1:9" ht="15" customHeight="1" x14ac:dyDescent="0.3">
      <c r="A9" s="33"/>
      <c r="B9" s="3"/>
      <c r="C9" s="3"/>
      <c r="D9" s="3"/>
    </row>
    <row r="10" spans="1:9" ht="15" customHeight="1" x14ac:dyDescent="0.3">
      <c r="A10" s="34">
        <v>2010</v>
      </c>
      <c r="B10" s="9">
        <v>696560</v>
      </c>
      <c r="C10" s="9">
        <v>2524830.1250499999</v>
      </c>
      <c r="D10" s="37">
        <v>17.420000000000002</v>
      </c>
      <c r="F10" s="56"/>
      <c r="G10" s="56"/>
      <c r="H10" s="52"/>
    </row>
    <row r="11" spans="1:9" ht="15" customHeight="1" x14ac:dyDescent="0.3">
      <c r="A11" s="33">
        <v>2011</v>
      </c>
      <c r="B11" s="10">
        <v>741634</v>
      </c>
      <c r="C11" s="10">
        <v>2980976.9530000007</v>
      </c>
      <c r="D11" s="38">
        <v>20.52</v>
      </c>
      <c r="F11" s="56"/>
      <c r="G11" s="56"/>
      <c r="H11" s="52"/>
    </row>
    <row r="12" spans="1:9" ht="15" customHeight="1" x14ac:dyDescent="0.3">
      <c r="A12" s="34">
        <v>2012</v>
      </c>
      <c r="B12" s="9">
        <v>783746</v>
      </c>
      <c r="C12" s="9">
        <v>2282314.0639999998</v>
      </c>
      <c r="D12" s="37">
        <v>23.87</v>
      </c>
      <c r="F12" s="56"/>
      <c r="G12" s="56"/>
      <c r="H12" s="52"/>
    </row>
    <row r="13" spans="1:9" ht="15" customHeight="1" x14ac:dyDescent="0.3">
      <c r="A13" s="33">
        <v>2013</v>
      </c>
      <c r="B13" s="10">
        <v>819459</v>
      </c>
      <c r="C13" s="10">
        <v>3443190.3640000005</v>
      </c>
      <c r="D13" s="38">
        <v>19.23</v>
      </c>
      <c r="F13" s="56"/>
      <c r="G13" s="56"/>
      <c r="H13" s="52"/>
    </row>
    <row r="14" spans="1:9" ht="15" customHeight="1" x14ac:dyDescent="0.3">
      <c r="A14" s="34">
        <v>2014</v>
      </c>
      <c r="B14" s="9">
        <v>885077</v>
      </c>
      <c r="C14" s="9">
        <v>2784336.0579999993</v>
      </c>
      <c r="D14" s="37">
        <v>17.440000000000001</v>
      </c>
      <c r="F14" s="56"/>
      <c r="G14" s="56"/>
      <c r="H14" s="52"/>
    </row>
    <row r="15" spans="1:9" ht="15" customHeight="1" x14ac:dyDescent="0.3">
      <c r="A15" s="33">
        <v>2015</v>
      </c>
      <c r="B15" s="10">
        <v>865282</v>
      </c>
      <c r="C15" s="10">
        <v>2836773.7349999994</v>
      </c>
      <c r="D15" s="38">
        <v>17.59</v>
      </c>
      <c r="F15" s="56"/>
      <c r="G15" s="56"/>
      <c r="H15" s="52"/>
    </row>
    <row r="16" spans="1:9" ht="15" customHeight="1" x14ac:dyDescent="0.3">
      <c r="A16" s="34">
        <v>2016</v>
      </c>
      <c r="B16" s="9">
        <v>904903</v>
      </c>
      <c r="C16" s="9">
        <v>3980302.9269999997</v>
      </c>
      <c r="D16" s="37">
        <v>15.08</v>
      </c>
      <c r="F16" s="56"/>
      <c r="G16" s="56"/>
      <c r="H16" s="52"/>
    </row>
    <row r="17" spans="1:8" ht="15" customHeight="1" x14ac:dyDescent="0.3">
      <c r="A17" s="33">
        <v>2017</v>
      </c>
      <c r="B17" s="10">
        <v>858637</v>
      </c>
      <c r="C17" s="10">
        <v>1505076.5759999999</v>
      </c>
      <c r="D17" s="38">
        <v>17.29</v>
      </c>
      <c r="F17" s="56"/>
      <c r="G17" s="56"/>
      <c r="H17" s="52"/>
    </row>
    <row r="18" spans="1:8" ht="15" customHeight="1" x14ac:dyDescent="0.3">
      <c r="A18" s="34">
        <v>2018</v>
      </c>
      <c r="B18" s="9">
        <v>877625</v>
      </c>
      <c r="C18" s="9">
        <v>3615536.4040000001</v>
      </c>
      <c r="D18" s="37">
        <v>17.940000000000001</v>
      </c>
      <c r="F18" s="56"/>
      <c r="G18" s="56"/>
      <c r="H18" s="52"/>
    </row>
    <row r="19" spans="1:8" ht="15" customHeight="1" x14ac:dyDescent="0.3">
      <c r="A19" s="33">
        <v>2019</v>
      </c>
      <c r="B19" s="10">
        <v>801866</v>
      </c>
      <c r="C19" s="10">
        <v>2339655.8639999996</v>
      </c>
      <c r="D19" s="38">
        <v>18.239999999999998</v>
      </c>
      <c r="F19" s="56"/>
      <c r="G19" s="56"/>
      <c r="H19" s="52"/>
    </row>
    <row r="20" spans="1:8" ht="15" customHeight="1" x14ac:dyDescent="0.3">
      <c r="A20" s="34">
        <v>2020</v>
      </c>
      <c r="B20" s="9">
        <v>788256</v>
      </c>
      <c r="C20" s="9">
        <v>3569551.5219999999</v>
      </c>
      <c r="D20" s="37">
        <v>18.07</v>
      </c>
      <c r="F20" s="56"/>
      <c r="G20" s="56"/>
      <c r="H20" s="52"/>
    </row>
    <row r="21" spans="1:8" ht="15" customHeight="1" x14ac:dyDescent="0.3">
      <c r="A21" s="33">
        <v>2021</v>
      </c>
      <c r="B21" s="10">
        <v>907852</v>
      </c>
      <c r="C21" s="10">
        <v>3883335.3960000002</v>
      </c>
      <c r="D21" s="38">
        <v>23.16</v>
      </c>
      <c r="F21" s="56"/>
      <c r="G21" s="56"/>
      <c r="H21" s="52"/>
    </row>
    <row r="22" spans="1:8" ht="15" customHeight="1" x14ac:dyDescent="0.3">
      <c r="A22" s="34">
        <v>2022</v>
      </c>
      <c r="B22" s="9">
        <v>895295</v>
      </c>
      <c r="C22" s="9">
        <v>2629556.7570000002</v>
      </c>
      <c r="D22" s="37">
        <v>33.15</v>
      </c>
      <c r="F22" s="56"/>
      <c r="G22" s="56"/>
      <c r="H22" s="52"/>
    </row>
    <row r="23" spans="1:8" ht="15" customHeight="1" x14ac:dyDescent="0.3">
      <c r="A23" s="33">
        <v>2023</v>
      </c>
      <c r="B23" s="62">
        <f>'2.1.2.1'!D20</f>
        <v>753114</v>
      </c>
      <c r="C23" s="62">
        <f>'2.1.2.1'!G20</f>
        <v>1732956.281</v>
      </c>
      <c r="D23" s="63">
        <v>25.88</v>
      </c>
      <c r="F23" s="56"/>
      <c r="G23" s="56"/>
      <c r="H23" s="52"/>
    </row>
    <row r="24" spans="1:8" ht="15" customHeight="1" thickBot="1" x14ac:dyDescent="0.35">
      <c r="A24" s="53"/>
      <c r="B24" s="54"/>
      <c r="C24" s="54"/>
      <c r="D24" s="55"/>
      <c r="F24" s="56"/>
      <c r="G24" s="56"/>
      <c r="H24" s="52"/>
    </row>
    <row r="25" spans="1:8" ht="15" customHeight="1" x14ac:dyDescent="0.3">
      <c r="A25" s="60" t="s">
        <v>34</v>
      </c>
      <c r="F25" s="52"/>
      <c r="G25" s="52"/>
      <c r="H25" s="52"/>
    </row>
    <row r="26" spans="1:8" ht="15" customHeight="1" x14ac:dyDescent="0.3">
      <c r="A26" s="27"/>
      <c r="F26" s="52"/>
      <c r="G26" s="52"/>
      <c r="H26" s="52"/>
    </row>
    <row r="27" spans="1:8" ht="15" customHeight="1" x14ac:dyDescent="0.3">
      <c r="A27" s="27"/>
    </row>
    <row r="28" spans="1:8" ht="15" customHeight="1" x14ac:dyDescent="0.3">
      <c r="A28" s="27"/>
    </row>
    <row r="29" spans="1:8" ht="15" customHeight="1" x14ac:dyDescent="0.3">
      <c r="A29" s="27"/>
    </row>
    <row r="30" spans="1:8" ht="15" customHeight="1" x14ac:dyDescent="0.3">
      <c r="A30" s="27"/>
    </row>
    <row r="31" spans="1:8" ht="15" customHeight="1" x14ac:dyDescent="0.3">
      <c r="A31" s="27"/>
    </row>
    <row r="32" spans="1:8" ht="15" customHeight="1" x14ac:dyDescent="0.3">
      <c r="A32" s="27"/>
    </row>
    <row r="33" spans="1:1" ht="15" customHeight="1" x14ac:dyDescent="0.3">
      <c r="A33" s="27"/>
    </row>
    <row r="34" spans="1:1" ht="15" customHeight="1" x14ac:dyDescent="0.3">
      <c r="A34" s="27"/>
    </row>
    <row r="35" spans="1:1" ht="15" customHeight="1" x14ac:dyDescent="0.3">
      <c r="A35" s="27"/>
    </row>
    <row r="36" spans="1:1" ht="15" customHeight="1" x14ac:dyDescent="0.3">
      <c r="A36" s="27"/>
    </row>
    <row r="37" spans="1:1" ht="15" customHeight="1" x14ac:dyDescent="0.3">
      <c r="A37" s="27"/>
    </row>
    <row r="38" spans="1:1" ht="15" customHeight="1" x14ac:dyDescent="0.3">
      <c r="A38" s="27"/>
    </row>
    <row r="39" spans="1:1" ht="15" customHeight="1" x14ac:dyDescent="0.3">
      <c r="A39" s="27"/>
    </row>
    <row r="40" spans="1:1" ht="15" customHeight="1" x14ac:dyDescent="0.3">
      <c r="A40" s="27"/>
    </row>
    <row r="41" spans="1:1" ht="15" customHeight="1" x14ac:dyDescent="0.3">
      <c r="A41" s="27"/>
    </row>
    <row r="42" spans="1:1" ht="15" customHeight="1" x14ac:dyDescent="0.3">
      <c r="A42" s="27"/>
    </row>
    <row r="43" spans="1:1" ht="15" customHeight="1" x14ac:dyDescent="0.3">
      <c r="A43" s="27"/>
    </row>
    <row r="44" spans="1:1" ht="15" customHeight="1" x14ac:dyDescent="0.3">
      <c r="A44" s="27"/>
    </row>
    <row r="45" spans="1:1" ht="15" customHeight="1" x14ac:dyDescent="0.3">
      <c r="A45" s="27"/>
    </row>
    <row r="46" spans="1:1" ht="15" customHeight="1" x14ac:dyDescent="0.3">
      <c r="A46" s="27"/>
    </row>
    <row r="47" spans="1:1" ht="15" customHeight="1" x14ac:dyDescent="0.3">
      <c r="A47" s="27"/>
    </row>
    <row r="48" spans="1:1" ht="15" customHeight="1" x14ac:dyDescent="0.3">
      <c r="A48" s="27"/>
    </row>
    <row r="49" spans="1:1" ht="15" customHeight="1" x14ac:dyDescent="0.3">
      <c r="A49" s="27"/>
    </row>
    <row r="50" spans="1:1" ht="15" customHeight="1" x14ac:dyDescent="0.3">
      <c r="A50" s="27"/>
    </row>
    <row r="51" spans="1:1" ht="15" customHeight="1" x14ac:dyDescent="0.3">
      <c r="A51" s="27"/>
    </row>
    <row r="52" spans="1:1" ht="15" customHeight="1" x14ac:dyDescent="0.3">
      <c r="A52" s="27"/>
    </row>
    <row r="53" spans="1:1" ht="15" customHeight="1" x14ac:dyDescent="0.3">
      <c r="A53" s="27"/>
    </row>
    <row r="54" spans="1:1" ht="15" customHeight="1" x14ac:dyDescent="0.3">
      <c r="A54" s="27"/>
    </row>
    <row r="55" spans="1:1" ht="15" customHeight="1" x14ac:dyDescent="0.3">
      <c r="A55" s="27"/>
    </row>
    <row r="56" spans="1:1" ht="15" customHeight="1" x14ac:dyDescent="0.3">
      <c r="A56" s="27"/>
    </row>
    <row r="57" spans="1:1" ht="15" customHeight="1" x14ac:dyDescent="0.3">
      <c r="A57" s="27"/>
    </row>
    <row r="58" spans="1:1" ht="15" customHeight="1" x14ac:dyDescent="0.3">
      <c r="A58" s="27"/>
    </row>
    <row r="59" spans="1:1" ht="15" customHeight="1" x14ac:dyDescent="0.3">
      <c r="A59" s="27"/>
    </row>
    <row r="60" spans="1:1" ht="15" customHeight="1" x14ac:dyDescent="0.3">
      <c r="A60" s="27"/>
    </row>
    <row r="61" spans="1:1" ht="15" customHeight="1" x14ac:dyDescent="0.3">
      <c r="A61" s="27"/>
    </row>
    <row r="62" spans="1:1" ht="15" customHeight="1" x14ac:dyDescent="0.3">
      <c r="A62" s="27"/>
    </row>
    <row r="63" spans="1:1" ht="15" customHeight="1" x14ac:dyDescent="0.3">
      <c r="A63" s="27"/>
    </row>
    <row r="64" spans="1:1" ht="15" customHeight="1" x14ac:dyDescent="0.3">
      <c r="A64" s="27"/>
    </row>
    <row r="65" spans="1:1" ht="15" customHeight="1" x14ac:dyDescent="0.3">
      <c r="A65" s="27"/>
    </row>
    <row r="66" spans="1:1" ht="15" customHeight="1" x14ac:dyDescent="0.3">
      <c r="A66" s="27"/>
    </row>
    <row r="67" spans="1:1" ht="15" customHeight="1" x14ac:dyDescent="0.3">
      <c r="A67" s="27"/>
    </row>
    <row r="68" spans="1:1" ht="15" customHeight="1" x14ac:dyDescent="0.3">
      <c r="A68" s="27"/>
    </row>
    <row r="69" spans="1:1" ht="15" customHeight="1" x14ac:dyDescent="0.3">
      <c r="A69" s="27"/>
    </row>
    <row r="70" spans="1:1" ht="15" customHeight="1" x14ac:dyDescent="0.3">
      <c r="A70" s="27"/>
    </row>
    <row r="71" spans="1:1" ht="15" customHeight="1" x14ac:dyDescent="0.3">
      <c r="A71" s="27"/>
    </row>
    <row r="72" spans="1:1" ht="15" customHeight="1" x14ac:dyDescent="0.3">
      <c r="A72" s="27"/>
    </row>
    <row r="73" spans="1:1" ht="15" customHeight="1" x14ac:dyDescent="0.3">
      <c r="A73" s="27"/>
    </row>
    <row r="74" spans="1:1" ht="15" customHeight="1" x14ac:dyDescent="0.3">
      <c r="A74" s="27"/>
    </row>
    <row r="75" spans="1:1" ht="15" customHeight="1" x14ac:dyDescent="0.3">
      <c r="A75" s="27"/>
    </row>
    <row r="76" spans="1:1" ht="15" customHeight="1" x14ac:dyDescent="0.3">
      <c r="A76" s="27"/>
    </row>
    <row r="77" spans="1:1" ht="15" customHeight="1" x14ac:dyDescent="0.3">
      <c r="A77" s="27"/>
    </row>
    <row r="78" spans="1:1" ht="15" customHeight="1" x14ac:dyDescent="0.3">
      <c r="A78" s="27"/>
    </row>
    <row r="79" spans="1:1" ht="15" customHeight="1" x14ac:dyDescent="0.3">
      <c r="A79" s="27"/>
    </row>
    <row r="80" spans="1:1" ht="15" customHeight="1" x14ac:dyDescent="0.3">
      <c r="A80" s="27"/>
    </row>
    <row r="81" spans="1:1" ht="15" customHeight="1" x14ac:dyDescent="0.3">
      <c r="A81" s="27"/>
    </row>
    <row r="82" spans="1:1" ht="15" customHeight="1" x14ac:dyDescent="0.3">
      <c r="A82" s="27"/>
    </row>
    <row r="83" spans="1:1" ht="15" customHeight="1" x14ac:dyDescent="0.3">
      <c r="A83" s="27"/>
    </row>
  </sheetData>
  <mergeCells count="5">
    <mergeCell ref="A2:D2"/>
    <mergeCell ref="A7:A8"/>
    <mergeCell ref="B7:B8"/>
    <mergeCell ref="C7:C8"/>
    <mergeCell ref="D7:D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90" fitToHeight="2" orientation="portrait" horizontalDpi="300" verticalDpi="300" r:id="rId1"/>
  <headerFooter alignWithMargins="0"/>
  <rowBreaks count="1" manualBreakCount="1">
    <brk id="25" max="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2FA9-87DF-431F-9715-9827EEE9BDAE}">
  <sheetPr codeName="Hoja86"/>
  <dimension ref="A2:O45"/>
  <sheetViews>
    <sheetView showGridLines="0" topLeftCell="A21" zoomScaleNormal="100" workbookViewId="0">
      <selection activeCell="J27" sqref="J27:K27"/>
    </sheetView>
  </sheetViews>
  <sheetFormatPr baseColWidth="10" defaultColWidth="11.44140625" defaultRowHeight="15" customHeight="1" x14ac:dyDescent="0.3"/>
  <cols>
    <col min="1" max="1" width="9.44140625" style="7" customWidth="1"/>
    <col min="2" max="10" width="10.109375" style="7" customWidth="1"/>
    <col min="11" max="11" width="10" style="7" customWidth="1"/>
    <col min="12" max="16384" width="11.44140625" style="7"/>
  </cols>
  <sheetData>
    <row r="2" spans="1:11" s="15" customFormat="1" ht="21" customHeight="1" x14ac:dyDescent="0.4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s="16" customFormat="1" ht="21" customHeight="1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21" customHeight="1" x14ac:dyDescent="0.3"/>
    <row r="5" spans="1:11" s="16" customFormat="1" ht="21" customHeight="1" x14ac:dyDescent="0.3">
      <c r="A5" s="66" t="s">
        <v>38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s="16" customFormat="1" ht="21" customHeight="1" thickBot="1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8" customFormat="1" ht="21" customHeight="1" thickBot="1" x14ac:dyDescent="0.3">
      <c r="A7" s="69" t="s">
        <v>7</v>
      </c>
      <c r="B7" s="67" t="s">
        <v>29</v>
      </c>
      <c r="C7" s="67"/>
      <c r="D7" s="67"/>
      <c r="E7" s="67"/>
      <c r="F7" s="67"/>
      <c r="G7" s="67"/>
      <c r="H7" s="67"/>
      <c r="I7" s="67"/>
      <c r="J7" s="67"/>
      <c r="K7" s="67"/>
    </row>
    <row r="8" spans="1:11" s="14" customFormat="1" ht="21" customHeight="1" x14ac:dyDescent="0.25">
      <c r="A8" s="76"/>
      <c r="B8" s="75" t="s">
        <v>26</v>
      </c>
      <c r="C8" s="75"/>
      <c r="D8" s="75" t="s">
        <v>21</v>
      </c>
      <c r="E8" s="75"/>
      <c r="F8" s="75" t="s">
        <v>20</v>
      </c>
      <c r="G8" s="75"/>
      <c r="H8" s="75" t="s">
        <v>19</v>
      </c>
      <c r="I8" s="75"/>
      <c r="J8" s="75" t="s">
        <v>12</v>
      </c>
      <c r="K8" s="75"/>
    </row>
    <row r="9" spans="1:11" s="14" customFormat="1" ht="21" customHeight="1" thickBot="1" x14ac:dyDescent="0.3">
      <c r="A9" s="70"/>
      <c r="B9" s="31" t="s">
        <v>1</v>
      </c>
      <c r="C9" s="31" t="s">
        <v>2</v>
      </c>
      <c r="D9" s="31" t="s">
        <v>1</v>
      </c>
      <c r="E9" s="31" t="s">
        <v>2</v>
      </c>
      <c r="F9" s="31" t="s">
        <v>1</v>
      </c>
      <c r="G9" s="31" t="s">
        <v>2</v>
      </c>
      <c r="H9" s="31" t="s">
        <v>1</v>
      </c>
      <c r="I9" s="31" t="s">
        <v>2</v>
      </c>
      <c r="J9" s="31" t="s">
        <v>1</v>
      </c>
      <c r="K9" s="32" t="s">
        <v>2</v>
      </c>
    </row>
    <row r="10" spans="1:11" s="52" customFormat="1" ht="15" customHeight="1" x14ac:dyDescent="0.3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</row>
    <row r="11" spans="1:11" ht="15" customHeight="1" x14ac:dyDescent="0.3">
      <c r="A11" s="33">
        <v>2010</v>
      </c>
      <c r="B11" s="10">
        <v>28110</v>
      </c>
      <c r="C11" s="10">
        <v>2389</v>
      </c>
      <c r="D11" s="10">
        <v>199639</v>
      </c>
      <c r="E11" s="10">
        <v>5201</v>
      </c>
      <c r="F11" s="10">
        <v>27197</v>
      </c>
      <c r="G11" s="10">
        <v>18953</v>
      </c>
      <c r="H11" s="10">
        <v>77749</v>
      </c>
      <c r="I11" s="10">
        <v>17361</v>
      </c>
      <c r="J11" s="10">
        <v>54761</v>
      </c>
      <c r="K11" s="10">
        <v>4773</v>
      </c>
    </row>
    <row r="12" spans="1:11" ht="15" customHeight="1" x14ac:dyDescent="0.3">
      <c r="A12" s="34">
        <v>2011</v>
      </c>
      <c r="B12" s="9">
        <v>30773</v>
      </c>
      <c r="C12" s="9">
        <v>3914</v>
      </c>
      <c r="D12" s="9">
        <v>202653</v>
      </c>
      <c r="E12" s="9">
        <v>5468</v>
      </c>
      <c r="F12" s="9">
        <v>28223</v>
      </c>
      <c r="G12" s="9">
        <v>21190</v>
      </c>
      <c r="H12" s="9">
        <v>82639</v>
      </c>
      <c r="I12" s="9">
        <v>16945</v>
      </c>
      <c r="J12" s="9">
        <v>61265</v>
      </c>
      <c r="K12" s="9">
        <v>4547</v>
      </c>
    </row>
    <row r="13" spans="1:11" ht="15" customHeight="1" x14ac:dyDescent="0.3">
      <c r="A13" s="33">
        <v>2012</v>
      </c>
      <c r="B13" s="10">
        <v>29624</v>
      </c>
      <c r="C13" s="10">
        <v>3265</v>
      </c>
      <c r="D13" s="10">
        <v>213742</v>
      </c>
      <c r="E13" s="10">
        <v>5901</v>
      </c>
      <c r="F13" s="10">
        <v>32755</v>
      </c>
      <c r="G13" s="10">
        <v>20675</v>
      </c>
      <c r="H13" s="10">
        <v>93748</v>
      </c>
      <c r="I13" s="10">
        <v>18746</v>
      </c>
      <c r="J13" s="10">
        <v>61045</v>
      </c>
      <c r="K13" s="10">
        <v>4274</v>
      </c>
    </row>
    <row r="14" spans="1:11" ht="15" customHeight="1" x14ac:dyDescent="0.3">
      <c r="A14" s="34">
        <v>2013</v>
      </c>
      <c r="B14" s="9">
        <v>30091</v>
      </c>
      <c r="C14" s="9">
        <v>4029</v>
      </c>
      <c r="D14" s="9">
        <v>215215</v>
      </c>
      <c r="E14" s="9">
        <v>5767</v>
      </c>
      <c r="F14" s="9">
        <v>36570</v>
      </c>
      <c r="G14" s="9">
        <v>23654</v>
      </c>
      <c r="H14" s="9">
        <v>99429</v>
      </c>
      <c r="I14" s="9">
        <v>19955</v>
      </c>
      <c r="J14" s="9">
        <v>61326</v>
      </c>
      <c r="K14" s="9">
        <v>4433</v>
      </c>
    </row>
    <row r="15" spans="1:11" ht="15" customHeight="1" x14ac:dyDescent="0.3">
      <c r="A15" s="33">
        <v>2014</v>
      </c>
      <c r="B15" s="10">
        <v>34655</v>
      </c>
      <c r="C15" s="10">
        <v>4214</v>
      </c>
      <c r="D15" s="10">
        <v>227737</v>
      </c>
      <c r="E15" s="10">
        <v>5870</v>
      </c>
      <c r="F15" s="10">
        <v>39981</v>
      </c>
      <c r="G15" s="10">
        <v>22790</v>
      </c>
      <c r="H15" s="10">
        <v>105586</v>
      </c>
      <c r="I15" s="10">
        <v>20290</v>
      </c>
      <c r="J15" s="10">
        <v>70028</v>
      </c>
      <c r="K15" s="10">
        <v>6694</v>
      </c>
    </row>
    <row r="16" spans="1:11" ht="15" customHeight="1" x14ac:dyDescent="0.3">
      <c r="A16" s="34">
        <v>2015</v>
      </c>
      <c r="B16" s="9">
        <v>35613</v>
      </c>
      <c r="C16" s="9">
        <v>3601</v>
      </c>
      <c r="D16" s="9">
        <v>207527</v>
      </c>
      <c r="E16" s="9">
        <v>6684</v>
      </c>
      <c r="F16" s="9">
        <v>36693</v>
      </c>
      <c r="G16" s="9">
        <v>20914</v>
      </c>
      <c r="H16" s="9">
        <v>105348</v>
      </c>
      <c r="I16" s="9">
        <v>21834</v>
      </c>
      <c r="J16" s="9">
        <v>66703</v>
      </c>
      <c r="K16" s="9">
        <v>6249</v>
      </c>
    </row>
    <row r="17" spans="1:15" ht="15" customHeight="1" x14ac:dyDescent="0.3">
      <c r="A17" s="33">
        <v>2016</v>
      </c>
      <c r="B17" s="10">
        <v>35135</v>
      </c>
      <c r="C17" s="10">
        <v>3786</v>
      </c>
      <c r="D17" s="10">
        <v>225294</v>
      </c>
      <c r="E17" s="10">
        <v>7020</v>
      </c>
      <c r="F17" s="10">
        <v>36517</v>
      </c>
      <c r="G17" s="10">
        <v>22248</v>
      </c>
      <c r="H17" s="10">
        <v>109210</v>
      </c>
      <c r="I17" s="10">
        <v>23486</v>
      </c>
      <c r="J17" s="10">
        <v>67984</v>
      </c>
      <c r="K17" s="10">
        <v>7398</v>
      </c>
    </row>
    <row r="18" spans="1:15" ht="15" customHeight="1" x14ac:dyDescent="0.3">
      <c r="A18" s="34">
        <v>2017</v>
      </c>
      <c r="B18" s="9">
        <v>33245</v>
      </c>
      <c r="C18" s="9">
        <v>2635</v>
      </c>
      <c r="D18" s="9">
        <v>213636</v>
      </c>
      <c r="E18" s="9">
        <v>6931</v>
      </c>
      <c r="F18" s="9">
        <v>32607</v>
      </c>
      <c r="G18" s="9">
        <v>30028</v>
      </c>
      <c r="H18" s="9">
        <v>104679</v>
      </c>
      <c r="I18" s="9">
        <v>23792</v>
      </c>
      <c r="J18" s="9">
        <v>54042</v>
      </c>
      <c r="K18" s="9">
        <v>6297</v>
      </c>
    </row>
    <row r="19" spans="1:15" ht="15" customHeight="1" x14ac:dyDescent="0.3">
      <c r="A19" s="33">
        <v>2018</v>
      </c>
      <c r="B19" s="10">
        <v>32030</v>
      </c>
      <c r="C19" s="10">
        <v>2884</v>
      </c>
      <c r="D19" s="10">
        <v>216499</v>
      </c>
      <c r="E19" s="10">
        <v>6893</v>
      </c>
      <c r="F19" s="10">
        <v>34941</v>
      </c>
      <c r="G19" s="10">
        <v>30730</v>
      </c>
      <c r="H19" s="10">
        <v>105975</v>
      </c>
      <c r="I19" s="10">
        <v>24691</v>
      </c>
      <c r="J19" s="10">
        <v>64039</v>
      </c>
      <c r="K19" s="10">
        <v>7474</v>
      </c>
    </row>
    <row r="20" spans="1:15" ht="15" customHeight="1" x14ac:dyDescent="0.3">
      <c r="A20" s="34">
        <v>2019</v>
      </c>
      <c r="B20" s="9">
        <v>30490</v>
      </c>
      <c r="C20" s="9">
        <v>2767</v>
      </c>
      <c r="D20" s="9">
        <v>204866</v>
      </c>
      <c r="E20" s="9">
        <v>6242</v>
      </c>
      <c r="F20" s="9">
        <v>30153</v>
      </c>
      <c r="G20" s="9">
        <v>21469</v>
      </c>
      <c r="H20" s="9">
        <v>94179</v>
      </c>
      <c r="I20" s="9">
        <v>20239</v>
      </c>
      <c r="J20" s="9">
        <v>51924</v>
      </c>
      <c r="K20" s="9">
        <v>5920</v>
      </c>
    </row>
    <row r="21" spans="1:15" ht="15" customHeight="1" x14ac:dyDescent="0.3">
      <c r="A21" s="33">
        <v>2020</v>
      </c>
      <c r="B21" s="10">
        <v>30496</v>
      </c>
      <c r="C21" s="10">
        <v>3008</v>
      </c>
      <c r="D21" s="10">
        <v>178795</v>
      </c>
      <c r="E21" s="10">
        <v>5717</v>
      </c>
      <c r="F21" s="10">
        <v>34029</v>
      </c>
      <c r="G21" s="10">
        <v>19631</v>
      </c>
      <c r="H21" s="10">
        <v>96822</v>
      </c>
      <c r="I21" s="10">
        <v>21341</v>
      </c>
      <c r="J21" s="10">
        <v>62966</v>
      </c>
      <c r="K21" s="10">
        <v>6277</v>
      </c>
    </row>
    <row r="22" spans="1:15" ht="15" customHeight="1" x14ac:dyDescent="0.3">
      <c r="A22" s="34">
        <v>2021</v>
      </c>
      <c r="B22" s="9">
        <v>33276</v>
      </c>
      <c r="C22" s="9">
        <v>3557</v>
      </c>
      <c r="D22" s="9">
        <v>219847</v>
      </c>
      <c r="E22" s="9">
        <v>6955</v>
      </c>
      <c r="F22" s="9">
        <v>33327</v>
      </c>
      <c r="G22" s="9">
        <v>18035</v>
      </c>
      <c r="H22" s="9">
        <v>113403</v>
      </c>
      <c r="I22" s="9">
        <v>24694</v>
      </c>
      <c r="J22" s="9">
        <v>66610</v>
      </c>
      <c r="K22" s="9">
        <v>6229</v>
      </c>
    </row>
    <row r="23" spans="1:15" ht="15" customHeight="1" x14ac:dyDescent="0.3">
      <c r="A23" s="50">
        <v>2022</v>
      </c>
      <c r="B23" s="61">
        <v>33122</v>
      </c>
      <c r="C23" s="61">
        <v>3029</v>
      </c>
      <c r="D23" s="61">
        <v>204297</v>
      </c>
      <c r="E23" s="61">
        <v>6948</v>
      </c>
      <c r="F23" s="61">
        <v>38142</v>
      </c>
      <c r="G23" s="61">
        <v>20955</v>
      </c>
      <c r="H23" s="61">
        <v>112221</v>
      </c>
      <c r="I23" s="61">
        <v>24971</v>
      </c>
      <c r="J23" s="61">
        <v>63722</v>
      </c>
      <c r="K23" s="61">
        <v>6804</v>
      </c>
    </row>
    <row r="24" spans="1:15" ht="15" customHeight="1" x14ac:dyDescent="0.3">
      <c r="A24" s="34">
        <v>2023</v>
      </c>
      <c r="B24" s="9">
        <f>'2.1.2.1'!B10</f>
        <v>26236</v>
      </c>
      <c r="C24" s="9">
        <f>'2.1.2.1'!C10</f>
        <v>2938</v>
      </c>
      <c r="D24" s="9">
        <f>'2.1.2.1'!B11</f>
        <v>179425</v>
      </c>
      <c r="E24" s="9">
        <f>'2.1.2.1'!C11</f>
        <v>6245</v>
      </c>
      <c r="F24" s="9">
        <f>'2.1.2.1'!B12</f>
        <v>29553</v>
      </c>
      <c r="G24" s="9">
        <f>'2.1.2.1'!C12</f>
        <v>15880</v>
      </c>
      <c r="H24" s="9">
        <f>'2.1.2.1'!B13</f>
        <v>95429</v>
      </c>
      <c r="I24" s="9">
        <f>'2.1.2.1'!C13</f>
        <v>21109</v>
      </c>
      <c r="J24" s="9">
        <f>'2.1.2.1'!B14</f>
        <v>51583</v>
      </c>
      <c r="K24" s="9">
        <f>'2.1.2.1'!C14</f>
        <v>5953</v>
      </c>
    </row>
    <row r="25" spans="1:15" ht="15" customHeight="1" thickBot="1" x14ac:dyDescent="0.35"/>
    <row r="26" spans="1:15" s="48" customFormat="1" ht="21" customHeight="1" thickBot="1" x14ac:dyDescent="0.3">
      <c r="A26" s="69" t="s">
        <v>7</v>
      </c>
      <c r="B26" s="67" t="s">
        <v>29</v>
      </c>
      <c r="C26" s="67"/>
      <c r="D26" s="67"/>
      <c r="E26" s="67"/>
      <c r="F26" s="67"/>
      <c r="G26" s="67"/>
      <c r="H26" s="67"/>
      <c r="I26" s="67"/>
      <c r="J26" s="67"/>
      <c r="K26" s="67"/>
    </row>
    <row r="27" spans="1:15" s="14" customFormat="1" ht="21" customHeight="1" x14ac:dyDescent="0.25">
      <c r="A27" s="76"/>
      <c r="B27" s="74" t="s">
        <v>23</v>
      </c>
      <c r="C27" s="74"/>
      <c r="D27" s="74" t="s">
        <v>24</v>
      </c>
      <c r="E27" s="74" t="s">
        <v>11</v>
      </c>
      <c r="F27" s="74" t="s">
        <v>15</v>
      </c>
      <c r="G27" s="74"/>
      <c r="H27" s="74" t="s">
        <v>25</v>
      </c>
      <c r="I27" s="74"/>
      <c r="J27" s="74" t="s">
        <v>27</v>
      </c>
      <c r="K27" s="74"/>
    </row>
    <row r="28" spans="1:15" s="14" customFormat="1" ht="21" customHeight="1" thickBot="1" x14ac:dyDescent="0.3">
      <c r="A28" s="70"/>
      <c r="B28" s="31" t="s">
        <v>1</v>
      </c>
      <c r="C28" s="31" t="s">
        <v>2</v>
      </c>
      <c r="D28" s="31" t="s">
        <v>1</v>
      </c>
      <c r="E28" s="31" t="s">
        <v>2</v>
      </c>
      <c r="F28" s="31" t="s">
        <v>1</v>
      </c>
      <c r="G28" s="31" t="s">
        <v>2</v>
      </c>
      <c r="H28" s="31" t="s">
        <v>1</v>
      </c>
      <c r="I28" s="31" t="s">
        <v>2</v>
      </c>
      <c r="J28" s="31" t="s">
        <v>1</v>
      </c>
      <c r="K28" s="32" t="s">
        <v>2</v>
      </c>
    </row>
    <row r="29" spans="1:15" s="52" customFormat="1" ht="15" customHeight="1" x14ac:dyDescent="0.3">
      <c r="A29" s="50"/>
      <c r="B29" s="51"/>
      <c r="C29" s="51"/>
      <c r="D29" s="51"/>
      <c r="E29" s="51"/>
      <c r="F29" s="51"/>
      <c r="G29" s="51"/>
      <c r="H29" s="51"/>
      <c r="I29" s="51"/>
      <c r="J29" s="51"/>
      <c r="K29" s="51"/>
    </row>
    <row r="30" spans="1:15" ht="15" customHeight="1" x14ac:dyDescent="0.3">
      <c r="A30" s="33">
        <v>2010</v>
      </c>
      <c r="B30" s="10">
        <v>54408</v>
      </c>
      <c r="C30" s="10">
        <v>1582</v>
      </c>
      <c r="D30" s="10">
        <v>93101</v>
      </c>
      <c r="E30" s="10">
        <v>3134</v>
      </c>
      <c r="F30" s="10">
        <v>41636</v>
      </c>
      <c r="G30" s="10">
        <v>9219</v>
      </c>
      <c r="H30" s="10">
        <v>51463</v>
      </c>
      <c r="I30" s="10">
        <v>5884</v>
      </c>
      <c r="J30" s="10">
        <v>646161</v>
      </c>
      <c r="K30" s="10">
        <v>71883</v>
      </c>
      <c r="M30" s="17"/>
      <c r="N30" s="17"/>
      <c r="O30" s="17"/>
    </row>
    <row r="31" spans="1:15" ht="15" customHeight="1" x14ac:dyDescent="0.3">
      <c r="A31" s="34">
        <v>2011</v>
      </c>
      <c r="B31" s="9">
        <v>60756</v>
      </c>
      <c r="C31" s="9">
        <v>2394</v>
      </c>
      <c r="D31" s="9">
        <v>97593</v>
      </c>
      <c r="E31" s="9">
        <v>3324</v>
      </c>
      <c r="F31" s="9">
        <v>50026</v>
      </c>
      <c r="G31" s="9">
        <v>12737</v>
      </c>
      <c r="H31" s="9">
        <v>50432</v>
      </c>
      <c r="I31" s="9">
        <v>6755</v>
      </c>
      <c r="J31" s="9">
        <v>664360</v>
      </c>
      <c r="K31" s="9">
        <v>77274</v>
      </c>
      <c r="M31" s="17"/>
      <c r="N31" s="17"/>
      <c r="O31" s="17"/>
    </row>
    <row r="32" spans="1:15" ht="15" customHeight="1" x14ac:dyDescent="0.3">
      <c r="A32" s="33">
        <v>2012</v>
      </c>
      <c r="B32" s="10">
        <v>64195</v>
      </c>
      <c r="C32" s="10">
        <v>2599</v>
      </c>
      <c r="D32" s="10">
        <v>96889</v>
      </c>
      <c r="E32" s="10">
        <v>3310</v>
      </c>
      <c r="F32" s="10">
        <v>57472</v>
      </c>
      <c r="G32" s="10">
        <v>14016</v>
      </c>
      <c r="H32" s="10">
        <v>54348</v>
      </c>
      <c r="I32" s="10">
        <v>7142</v>
      </c>
      <c r="J32" s="10">
        <v>703818</v>
      </c>
      <c r="K32" s="10">
        <v>79928</v>
      </c>
      <c r="M32" s="17"/>
      <c r="N32" s="17"/>
      <c r="O32" s="17"/>
    </row>
    <row r="33" spans="1:15" ht="15" customHeight="1" x14ac:dyDescent="0.3">
      <c r="A33" s="34">
        <v>2013</v>
      </c>
      <c r="B33" s="9">
        <v>66615</v>
      </c>
      <c r="C33" s="9">
        <v>3279</v>
      </c>
      <c r="D33" s="9">
        <v>98437</v>
      </c>
      <c r="E33" s="9">
        <v>3574</v>
      </c>
      <c r="F33" s="9">
        <v>64723</v>
      </c>
      <c r="G33" s="9">
        <v>14491</v>
      </c>
      <c r="H33" s="9">
        <v>60357</v>
      </c>
      <c r="I33" s="9">
        <v>7514</v>
      </c>
      <c r="J33" s="9">
        <v>732763</v>
      </c>
      <c r="K33" s="9">
        <v>86696</v>
      </c>
      <c r="M33" s="17"/>
      <c r="N33" s="17"/>
      <c r="O33" s="17"/>
    </row>
    <row r="34" spans="1:15" ht="15" customHeight="1" x14ac:dyDescent="0.3">
      <c r="A34" s="33">
        <v>2014</v>
      </c>
      <c r="B34" s="10">
        <v>67894</v>
      </c>
      <c r="C34" s="10">
        <v>3617</v>
      </c>
      <c r="D34" s="10">
        <v>102874</v>
      </c>
      <c r="E34" s="10">
        <v>3409</v>
      </c>
      <c r="F34" s="10">
        <v>78212</v>
      </c>
      <c r="G34" s="10">
        <v>16487</v>
      </c>
      <c r="H34" s="10">
        <v>66615</v>
      </c>
      <c r="I34" s="10">
        <v>8124</v>
      </c>
      <c r="J34" s="10">
        <v>793582</v>
      </c>
      <c r="K34" s="10">
        <v>91495</v>
      </c>
      <c r="M34" s="17"/>
      <c r="N34" s="17"/>
      <c r="O34" s="17"/>
    </row>
    <row r="35" spans="1:15" ht="15" customHeight="1" x14ac:dyDescent="0.3">
      <c r="A35" s="34">
        <v>2015</v>
      </c>
      <c r="B35" s="9">
        <v>69310</v>
      </c>
      <c r="C35" s="9">
        <v>3989</v>
      </c>
      <c r="D35" s="9">
        <v>99455</v>
      </c>
      <c r="E35" s="9">
        <v>4100</v>
      </c>
      <c r="F35" s="9">
        <v>83072</v>
      </c>
      <c r="G35" s="9">
        <v>18020</v>
      </c>
      <c r="H35" s="9">
        <v>67101</v>
      </c>
      <c r="I35" s="9">
        <v>9069</v>
      </c>
      <c r="J35" s="9">
        <v>770822</v>
      </c>
      <c r="K35" s="9">
        <v>94460</v>
      </c>
      <c r="M35" s="17"/>
      <c r="N35" s="17"/>
      <c r="O35" s="17"/>
    </row>
    <row r="36" spans="1:15" ht="15" customHeight="1" x14ac:dyDescent="0.3">
      <c r="A36" s="33">
        <v>2016</v>
      </c>
      <c r="B36" s="10">
        <v>70087</v>
      </c>
      <c r="C36" s="10">
        <v>4540</v>
      </c>
      <c r="D36" s="10">
        <v>104446</v>
      </c>
      <c r="E36" s="10">
        <v>3878</v>
      </c>
      <c r="F36" s="10">
        <v>91981</v>
      </c>
      <c r="G36" s="10">
        <v>19083</v>
      </c>
      <c r="H36" s="10">
        <v>64318</v>
      </c>
      <c r="I36" s="10">
        <v>8492</v>
      </c>
      <c r="J36" s="10">
        <v>804972</v>
      </c>
      <c r="K36" s="10">
        <v>99931</v>
      </c>
      <c r="M36" s="17"/>
      <c r="N36" s="17"/>
      <c r="O36" s="17"/>
    </row>
    <row r="37" spans="1:15" ht="15" customHeight="1" x14ac:dyDescent="0.3">
      <c r="A37" s="34">
        <v>2017</v>
      </c>
      <c r="B37" s="9">
        <v>70436</v>
      </c>
      <c r="C37" s="9">
        <v>4012</v>
      </c>
      <c r="D37" s="9">
        <v>92011</v>
      </c>
      <c r="E37" s="9">
        <v>4524</v>
      </c>
      <c r="F37" s="9">
        <v>90393</v>
      </c>
      <c r="G37" s="9">
        <v>18202</v>
      </c>
      <c r="H37" s="9">
        <v>61628</v>
      </c>
      <c r="I37" s="9">
        <v>9539</v>
      </c>
      <c r="J37" s="9">
        <v>752677</v>
      </c>
      <c r="K37" s="9">
        <v>105960</v>
      </c>
      <c r="M37" s="17"/>
      <c r="N37" s="17"/>
      <c r="O37" s="17"/>
    </row>
    <row r="38" spans="1:15" ht="15" customHeight="1" x14ac:dyDescent="0.3">
      <c r="A38" s="33">
        <v>2018</v>
      </c>
      <c r="B38" s="10">
        <v>68581</v>
      </c>
      <c r="C38" s="10">
        <v>4181</v>
      </c>
      <c r="D38" s="10">
        <v>96878</v>
      </c>
      <c r="E38" s="10">
        <v>4043</v>
      </c>
      <c r="F38" s="10">
        <v>92283</v>
      </c>
      <c r="G38" s="10">
        <v>17319</v>
      </c>
      <c r="H38" s="10">
        <v>57198</v>
      </c>
      <c r="I38" s="10">
        <v>10986</v>
      </c>
      <c r="J38" s="10">
        <v>768424</v>
      </c>
      <c r="K38" s="10">
        <v>109201</v>
      </c>
      <c r="M38" s="17"/>
      <c r="N38" s="17"/>
      <c r="O38" s="17"/>
    </row>
    <row r="39" spans="1:15" ht="15" customHeight="1" x14ac:dyDescent="0.3">
      <c r="A39" s="34">
        <v>2019</v>
      </c>
      <c r="B39" s="9">
        <v>67579</v>
      </c>
      <c r="C39" s="9">
        <v>4098</v>
      </c>
      <c r="D39" s="9">
        <v>94460</v>
      </c>
      <c r="E39" s="9">
        <v>4249</v>
      </c>
      <c r="F39" s="9">
        <v>84377</v>
      </c>
      <c r="G39" s="9">
        <v>16007</v>
      </c>
      <c r="H39" s="9">
        <v>54838</v>
      </c>
      <c r="I39" s="9">
        <v>8009</v>
      </c>
      <c r="J39" s="9">
        <v>712866</v>
      </c>
      <c r="K39" s="9">
        <v>89000</v>
      </c>
      <c r="M39" s="17"/>
      <c r="N39" s="17"/>
      <c r="O39" s="17"/>
    </row>
    <row r="40" spans="1:15" ht="15" customHeight="1" x14ac:dyDescent="0.3">
      <c r="A40" s="33">
        <v>2020</v>
      </c>
      <c r="B40" s="10">
        <v>62721</v>
      </c>
      <c r="C40" s="10">
        <v>3943</v>
      </c>
      <c r="D40" s="10">
        <v>83951</v>
      </c>
      <c r="E40" s="10">
        <v>3806</v>
      </c>
      <c r="F40" s="10">
        <v>88394</v>
      </c>
      <c r="G40" s="10">
        <v>16723</v>
      </c>
      <c r="H40" s="10">
        <v>60739</v>
      </c>
      <c r="I40" s="10">
        <v>8897</v>
      </c>
      <c r="J40" s="10">
        <v>698913</v>
      </c>
      <c r="K40" s="10">
        <v>89343</v>
      </c>
      <c r="M40" s="17"/>
      <c r="N40" s="17"/>
      <c r="O40" s="17"/>
    </row>
    <row r="41" spans="1:15" ht="15" customHeight="1" x14ac:dyDescent="0.3">
      <c r="A41" s="34">
        <v>2021</v>
      </c>
      <c r="B41" s="9">
        <v>72501</v>
      </c>
      <c r="C41" s="9">
        <v>4401</v>
      </c>
      <c r="D41" s="9">
        <v>110101</v>
      </c>
      <c r="E41" s="9">
        <v>5304</v>
      </c>
      <c r="F41" s="9">
        <v>99465</v>
      </c>
      <c r="G41" s="9">
        <v>19531</v>
      </c>
      <c r="H41" s="9">
        <v>61539</v>
      </c>
      <c r="I41" s="9">
        <v>9077</v>
      </c>
      <c r="J41" s="9">
        <f>B22+D22+F22+H22+J22+B41+D41+F41+H41</f>
        <v>810069</v>
      </c>
      <c r="K41" s="9">
        <f>C22+E22+G22+I22+K22+C41+E41+G41+I41</f>
        <v>97783</v>
      </c>
      <c r="M41" s="17"/>
      <c r="N41" s="17"/>
      <c r="O41" s="17"/>
    </row>
    <row r="42" spans="1:15" ht="15" customHeight="1" x14ac:dyDescent="0.3">
      <c r="A42" s="33">
        <v>2022</v>
      </c>
      <c r="B42" s="10">
        <v>64879</v>
      </c>
      <c r="C42" s="10">
        <v>4624</v>
      </c>
      <c r="D42" s="10">
        <v>106461</v>
      </c>
      <c r="E42" s="10">
        <v>5049</v>
      </c>
      <c r="F42" s="10">
        <v>103064</v>
      </c>
      <c r="G42" s="10">
        <v>20186</v>
      </c>
      <c r="H42" s="10">
        <v>67169</v>
      </c>
      <c r="I42" s="10">
        <v>9652</v>
      </c>
      <c r="J42" s="10">
        <v>793077</v>
      </c>
      <c r="K42" s="10">
        <v>102218</v>
      </c>
      <c r="M42" s="17"/>
      <c r="N42" s="17"/>
      <c r="O42" s="17"/>
    </row>
    <row r="43" spans="1:15" ht="15" customHeight="1" x14ac:dyDescent="0.3">
      <c r="A43" s="34">
        <v>2023</v>
      </c>
      <c r="B43" s="9">
        <f>'2.1.2.1'!B15</f>
        <v>60646</v>
      </c>
      <c r="C43" s="9">
        <f>'2.1.2.1'!C15</f>
        <v>3014</v>
      </c>
      <c r="D43" s="9">
        <f>'2.1.2.1'!B16</f>
        <v>88419</v>
      </c>
      <c r="E43" s="9">
        <f>'2.1.2.1'!C16</f>
        <v>4210</v>
      </c>
      <c r="F43" s="9">
        <f>'2.1.2.1'!B17</f>
        <v>89251</v>
      </c>
      <c r="G43" s="9">
        <f>'2.1.2.1'!C17</f>
        <v>17525</v>
      </c>
      <c r="H43" s="9">
        <f>'2.1.2.1'!B18</f>
        <v>46656</v>
      </c>
      <c r="I43" s="9">
        <f>'2.1.2.1'!C18</f>
        <v>9042</v>
      </c>
      <c r="J43" s="9">
        <f>'2.1.2.1'!B20</f>
        <v>667198</v>
      </c>
      <c r="K43" s="9">
        <f>'2.1.2.1'!C20</f>
        <v>85916</v>
      </c>
      <c r="M43" s="17"/>
      <c r="N43" s="17"/>
      <c r="O43" s="17"/>
    </row>
    <row r="44" spans="1:15" ht="15" customHeight="1" thickBot="1" x14ac:dyDescent="0.35">
      <c r="A44" s="40"/>
      <c r="B44" s="41"/>
      <c r="C44" s="41"/>
      <c r="D44" s="41"/>
      <c r="E44" s="41"/>
      <c r="F44" s="41"/>
      <c r="G44" s="41"/>
      <c r="H44" s="41"/>
      <c r="I44" s="41"/>
      <c r="J44" s="41"/>
      <c r="K44" s="41"/>
    </row>
    <row r="45" spans="1:15" ht="15" customHeight="1" x14ac:dyDescent="0.3">
      <c r="M45" s="17"/>
      <c r="N45" s="17"/>
      <c r="O45" s="17"/>
    </row>
  </sheetData>
  <mergeCells count="16">
    <mergeCell ref="A2:K2"/>
    <mergeCell ref="A5:K5"/>
    <mergeCell ref="B7:K7"/>
    <mergeCell ref="A7:A9"/>
    <mergeCell ref="A26:A28"/>
    <mergeCell ref="B26:K26"/>
    <mergeCell ref="B8:C8"/>
    <mergeCell ref="B27:C27"/>
    <mergeCell ref="F27:G27"/>
    <mergeCell ref="H27:I27"/>
    <mergeCell ref="J27:K27"/>
    <mergeCell ref="D8:E8"/>
    <mergeCell ref="F8:G8"/>
    <mergeCell ref="H8:I8"/>
    <mergeCell ref="J8:K8"/>
    <mergeCell ref="D27:E27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D881-BA04-4296-AAD1-326246DA72D6}">
  <sheetPr codeName="Hoja88"/>
  <dimension ref="A2:IV47"/>
  <sheetViews>
    <sheetView showGridLines="0" zoomScaleNormal="100" workbookViewId="0">
      <selection activeCell="D44" sqref="D44"/>
    </sheetView>
  </sheetViews>
  <sheetFormatPr baseColWidth="10" defaultColWidth="11.44140625" defaultRowHeight="15" customHeight="1" x14ac:dyDescent="0.3"/>
  <cols>
    <col min="1" max="1" width="9.44140625" style="7" customWidth="1"/>
    <col min="2" max="10" width="10.109375" style="7" customWidth="1"/>
    <col min="11" max="11" width="8.88671875" style="7" customWidth="1"/>
    <col min="12" max="16384" width="11.44140625" style="7"/>
  </cols>
  <sheetData>
    <row r="2" spans="1:11" s="15" customFormat="1" ht="21" customHeight="1" x14ac:dyDescent="0.4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s="16" customFormat="1" ht="21" customHeight="1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21" customHeight="1" x14ac:dyDescent="0.3"/>
    <row r="5" spans="1:11" s="16" customFormat="1" ht="21" customHeight="1" x14ac:dyDescent="0.3">
      <c r="A5" s="66" t="s">
        <v>37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s="16" customFormat="1" ht="21" customHeight="1" thickBot="1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16" customFormat="1" ht="21" customHeight="1" thickBot="1" x14ac:dyDescent="0.35">
      <c r="A7" s="69" t="s">
        <v>7</v>
      </c>
      <c r="B7" s="77" t="s">
        <v>32</v>
      </c>
      <c r="C7" s="77"/>
      <c r="D7" s="77"/>
      <c r="E7" s="77"/>
      <c r="F7" s="77"/>
      <c r="G7" s="77"/>
      <c r="H7" s="77"/>
      <c r="I7" s="77"/>
      <c r="J7" s="77"/>
      <c r="K7" s="77"/>
    </row>
    <row r="8" spans="1:11" s="14" customFormat="1" ht="21" customHeight="1" x14ac:dyDescent="0.25">
      <c r="A8" s="76"/>
      <c r="B8" s="75" t="s">
        <v>26</v>
      </c>
      <c r="C8" s="75"/>
      <c r="D8" s="75" t="s">
        <v>21</v>
      </c>
      <c r="E8" s="75"/>
      <c r="F8" s="75" t="s">
        <v>20</v>
      </c>
      <c r="G8" s="75"/>
      <c r="H8" s="75" t="s">
        <v>19</v>
      </c>
      <c r="I8" s="75"/>
      <c r="J8" s="75" t="s">
        <v>12</v>
      </c>
      <c r="K8" s="75"/>
    </row>
    <row r="9" spans="1:11" s="14" customFormat="1" ht="21" customHeight="1" thickBot="1" x14ac:dyDescent="0.3">
      <c r="A9" s="70"/>
      <c r="B9" s="31" t="s">
        <v>1</v>
      </c>
      <c r="C9" s="31" t="s">
        <v>2</v>
      </c>
      <c r="D9" s="31" t="s">
        <v>1</v>
      </c>
      <c r="E9" s="31" t="s">
        <v>2</v>
      </c>
      <c r="F9" s="31" t="s">
        <v>1</v>
      </c>
      <c r="G9" s="31" t="s">
        <v>2</v>
      </c>
      <c r="H9" s="31" t="s">
        <v>1</v>
      </c>
      <c r="I9" s="31" t="s">
        <v>2</v>
      </c>
      <c r="J9" s="31" t="s">
        <v>1</v>
      </c>
      <c r="K9" s="32" t="s">
        <v>2</v>
      </c>
    </row>
    <row r="10" spans="1:11" s="42" customFormat="1" ht="15" customHeight="1" x14ac:dyDescent="0.3">
      <c r="A10" s="39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spans="1:11" ht="15" customHeight="1" x14ac:dyDescent="0.3">
      <c r="A11" s="33">
        <v>2010</v>
      </c>
      <c r="B11" s="10">
        <v>2490</v>
      </c>
      <c r="C11" s="10">
        <v>3795</v>
      </c>
      <c r="D11" s="10">
        <v>4340</v>
      </c>
      <c r="E11" s="10">
        <v>5200</v>
      </c>
      <c r="F11" s="10">
        <v>2900</v>
      </c>
      <c r="G11" s="10">
        <v>5700</v>
      </c>
      <c r="H11" s="10">
        <v>3262.34</v>
      </c>
      <c r="I11" s="10">
        <v>5332.99</v>
      </c>
      <c r="J11" s="10">
        <v>2755</v>
      </c>
      <c r="K11" s="10">
        <v>3580</v>
      </c>
    </row>
    <row r="12" spans="1:11" ht="15" customHeight="1" x14ac:dyDescent="0.3">
      <c r="A12" s="34">
        <v>2011</v>
      </c>
      <c r="B12" s="9">
        <v>3383</v>
      </c>
      <c r="C12" s="9">
        <v>4800</v>
      </c>
      <c r="D12" s="9">
        <v>4572.166313846822</v>
      </c>
      <c r="E12" s="9">
        <v>5140</v>
      </c>
      <c r="F12" s="9">
        <v>2850</v>
      </c>
      <c r="G12" s="9">
        <v>5650</v>
      </c>
      <c r="H12" s="9">
        <v>3887</v>
      </c>
      <c r="I12" s="9">
        <v>5551</v>
      </c>
      <c r="J12" s="9">
        <v>3559.4246307026851</v>
      </c>
      <c r="K12" s="9">
        <v>4530</v>
      </c>
    </row>
    <row r="13" spans="1:11" ht="15" customHeight="1" x14ac:dyDescent="0.3">
      <c r="A13" s="33">
        <v>2012</v>
      </c>
      <c r="B13" s="10">
        <v>1999.9763705103969</v>
      </c>
      <c r="C13" s="10">
        <v>4399.1424196018379</v>
      </c>
      <c r="D13" s="10">
        <v>3833.9492051164489</v>
      </c>
      <c r="E13" s="10">
        <v>5001.6098966276904</v>
      </c>
      <c r="F13" s="10">
        <v>2950</v>
      </c>
      <c r="G13" s="10">
        <v>5600</v>
      </c>
      <c r="H13" s="10">
        <v>2470.8737039723514</v>
      </c>
      <c r="I13" s="10">
        <v>4124.3531953483407</v>
      </c>
      <c r="J13" s="10">
        <v>2561.9706446064379</v>
      </c>
      <c r="K13" s="10">
        <v>4036.7271876462332</v>
      </c>
    </row>
    <row r="14" spans="1:11" ht="15" customHeight="1" x14ac:dyDescent="0.3">
      <c r="A14" s="34">
        <v>2013</v>
      </c>
      <c r="B14" s="9">
        <v>2905.9274201588514</v>
      </c>
      <c r="C14" s="9">
        <v>4852.4889550757016</v>
      </c>
      <c r="D14" s="9">
        <v>4700.0014868852077</v>
      </c>
      <c r="E14" s="9">
        <v>5657.9112190046817</v>
      </c>
      <c r="F14" s="9">
        <v>3199.9852337981947</v>
      </c>
      <c r="G14" s="9">
        <v>6399.9860488712284</v>
      </c>
      <c r="H14" s="9">
        <v>4317.9960172585461</v>
      </c>
      <c r="I14" s="9">
        <v>5419.0228013029318</v>
      </c>
      <c r="J14" s="9">
        <v>3395.0000000000005</v>
      </c>
      <c r="K14" s="9">
        <v>4198</v>
      </c>
    </row>
    <row r="15" spans="1:11" ht="15" customHeight="1" x14ac:dyDescent="0.3">
      <c r="A15" s="33">
        <v>2014</v>
      </c>
      <c r="B15" s="10">
        <v>1686.9632953397777</v>
      </c>
      <c r="C15" s="10">
        <v>3286</v>
      </c>
      <c r="D15" s="10">
        <v>4168.2352669965794</v>
      </c>
      <c r="E15" s="10">
        <v>4766</v>
      </c>
      <c r="F15" s="10">
        <v>2099.9774893074209</v>
      </c>
      <c r="G15" s="10">
        <v>6088.8398859148747</v>
      </c>
      <c r="H15" s="10">
        <v>3032.0580758812721</v>
      </c>
      <c r="I15" s="10">
        <v>4944.7240019714145</v>
      </c>
      <c r="J15" s="10">
        <v>2367.837093733935</v>
      </c>
      <c r="K15" s="10">
        <v>2781.0034359127576</v>
      </c>
    </row>
    <row r="16" spans="1:11" ht="15" customHeight="1" x14ac:dyDescent="0.3">
      <c r="A16" s="34">
        <v>2015</v>
      </c>
      <c r="B16" s="9">
        <v>2489</v>
      </c>
      <c r="C16" s="9">
        <v>4361</v>
      </c>
      <c r="D16" s="9">
        <v>3798.8402280185228</v>
      </c>
      <c r="E16" s="9">
        <v>5391.9838420107717</v>
      </c>
      <c r="F16" s="9">
        <v>2999.6893140380998</v>
      </c>
      <c r="G16" s="9">
        <v>6399.6939848905031</v>
      </c>
      <c r="H16" s="9">
        <v>3161.9091772031743</v>
      </c>
      <c r="I16" s="9">
        <v>5438.3170284876796</v>
      </c>
      <c r="J16" s="9">
        <v>2590.0000000000005</v>
      </c>
      <c r="K16" s="9">
        <v>3939.9999999999995</v>
      </c>
    </row>
    <row r="17" spans="1:256" ht="15" customHeight="1" x14ac:dyDescent="0.3">
      <c r="A17" s="33">
        <v>2016</v>
      </c>
      <c r="B17" s="10">
        <v>3145.8118400455387</v>
      </c>
      <c r="C17" s="10">
        <v>4317</v>
      </c>
      <c r="D17" s="10">
        <v>4707.2329844558662</v>
      </c>
      <c r="E17" s="10">
        <v>5560.7509971509971</v>
      </c>
      <c r="F17" s="10">
        <v>3859.6918147712026</v>
      </c>
      <c r="G17" s="10">
        <v>6808.6537216828483</v>
      </c>
      <c r="H17" s="10">
        <v>4460.8851478802308</v>
      </c>
      <c r="I17" s="10">
        <v>5818.7493400323601</v>
      </c>
      <c r="J17" s="10">
        <v>3916.1934278653803</v>
      </c>
      <c r="K17" s="10">
        <v>5139.5681265206813</v>
      </c>
    </row>
    <row r="18" spans="1:256" ht="15" customHeight="1" x14ac:dyDescent="0.3">
      <c r="A18" s="34">
        <v>2017</v>
      </c>
      <c r="B18" s="9">
        <v>575</v>
      </c>
      <c r="C18" s="9">
        <v>3345.0952561669828</v>
      </c>
      <c r="D18" s="9">
        <v>2659.1257746821698</v>
      </c>
      <c r="E18" s="9">
        <v>3518.514355792815</v>
      </c>
      <c r="F18" s="9">
        <v>597.98573925844141</v>
      </c>
      <c r="G18" s="9">
        <v>3847.865458905022</v>
      </c>
      <c r="H18" s="9">
        <v>1125.0869228785143</v>
      </c>
      <c r="I18" s="9">
        <v>3243.0067249495628</v>
      </c>
      <c r="J18" s="9">
        <v>1170.6804152325969</v>
      </c>
      <c r="K18" s="9">
        <v>2739.2618707320948</v>
      </c>
    </row>
    <row r="19" spans="1:256" ht="15" customHeight="1" x14ac:dyDescent="0.3">
      <c r="A19" s="33">
        <v>2018</v>
      </c>
      <c r="B19" s="10">
        <v>3317</v>
      </c>
      <c r="C19" s="10">
        <v>4839.0658807212203</v>
      </c>
      <c r="D19" s="10">
        <v>4577.7053519877691</v>
      </c>
      <c r="E19" s="10">
        <v>5153.945887131873</v>
      </c>
      <c r="F19" s="10">
        <v>3531.7819180904953</v>
      </c>
      <c r="G19" s="10">
        <v>6390.591929710381</v>
      </c>
      <c r="H19" s="10">
        <v>3889.247605567351</v>
      </c>
      <c r="I19" s="10">
        <v>5815.5235915920784</v>
      </c>
      <c r="J19" s="10">
        <v>3914.3458985930447</v>
      </c>
      <c r="K19" s="10">
        <v>5141.3901525287665</v>
      </c>
    </row>
    <row r="20" spans="1:256" ht="15" customHeight="1" x14ac:dyDescent="0.3">
      <c r="A20" s="34">
        <v>2019</v>
      </c>
      <c r="B20" s="9">
        <v>1361</v>
      </c>
      <c r="C20" s="9">
        <v>3741</v>
      </c>
      <c r="D20" s="9">
        <v>3723.9606425663605</v>
      </c>
      <c r="E20" s="9">
        <v>5634.7529637936559</v>
      </c>
      <c r="F20" s="9">
        <v>1653.5838225052235</v>
      </c>
      <c r="G20" s="9">
        <v>6237.5432949834649</v>
      </c>
      <c r="H20" s="9">
        <v>2726.9316514297243</v>
      </c>
      <c r="I20" s="9">
        <v>5366.7340283610847</v>
      </c>
      <c r="J20" s="9">
        <v>1637.905361682459</v>
      </c>
      <c r="K20" s="9">
        <v>3997.675337837838</v>
      </c>
    </row>
    <row r="21" spans="1:256" ht="15" customHeight="1" x14ac:dyDescent="0.3">
      <c r="A21" s="33">
        <v>2020</v>
      </c>
      <c r="B21" s="10">
        <v>4206</v>
      </c>
      <c r="C21" s="10">
        <v>5948.802194148936</v>
      </c>
      <c r="D21" s="10">
        <v>5214.8975083195837</v>
      </c>
      <c r="E21" s="10">
        <v>6053.8672380619209</v>
      </c>
      <c r="F21" s="10">
        <v>3504.6145934350111</v>
      </c>
      <c r="G21" s="10">
        <v>6403.5693545922268</v>
      </c>
      <c r="H21" s="10">
        <v>3597.9424097829005</v>
      </c>
      <c r="I21" s="10">
        <v>4985.4385923808632</v>
      </c>
      <c r="J21" s="10">
        <v>4007.6505733252866</v>
      </c>
      <c r="K21" s="10">
        <v>5541.9850246933247</v>
      </c>
    </row>
    <row r="22" spans="1:256" ht="15" customHeight="1" x14ac:dyDescent="0.3">
      <c r="A22" s="34">
        <v>2021</v>
      </c>
      <c r="B22" s="9">
        <v>3195.9545618463758</v>
      </c>
      <c r="C22" s="9">
        <v>5376</v>
      </c>
      <c r="D22" s="9">
        <v>4921.5529936728726</v>
      </c>
      <c r="E22" s="9">
        <v>6313.128396836808</v>
      </c>
      <c r="F22" s="9">
        <v>3099.9579920184833</v>
      </c>
      <c r="G22" s="9">
        <v>6449.2703077349597</v>
      </c>
      <c r="H22" s="9">
        <v>4189.7940354311613</v>
      </c>
      <c r="I22" s="9">
        <v>6208.8629626629954</v>
      </c>
      <c r="J22" s="9">
        <v>3468.982660261222</v>
      </c>
      <c r="K22" s="9">
        <v>5409.6023438754219</v>
      </c>
      <c r="M22" s="17"/>
      <c r="N22" s="17"/>
      <c r="O22" s="17"/>
    </row>
    <row r="23" spans="1:256" ht="15" customHeight="1" x14ac:dyDescent="0.3">
      <c r="A23" s="33">
        <v>2022</v>
      </c>
      <c r="B23" s="10">
        <v>1855.4212607934303</v>
      </c>
      <c r="C23" s="10">
        <v>4610</v>
      </c>
      <c r="D23" s="10">
        <v>3309.849929269642</v>
      </c>
      <c r="E23" s="10">
        <v>5384.9499136442146</v>
      </c>
      <c r="F23" s="10">
        <v>1949.941009910335</v>
      </c>
      <c r="G23" s="10">
        <v>5969.322834645669</v>
      </c>
      <c r="H23" s="10">
        <v>3207.2654494256867</v>
      </c>
      <c r="I23" s="10">
        <v>5749.2432822073606</v>
      </c>
      <c r="J23" s="10">
        <v>2669.9604218323343</v>
      </c>
      <c r="K23" s="10">
        <v>5464.1904761904761</v>
      </c>
      <c r="L23" s="33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33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33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33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33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33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33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33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33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33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33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33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33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33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33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33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33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33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33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33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33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33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33"/>
      <c r="IU23" s="10"/>
      <c r="IV23" s="10"/>
    </row>
    <row r="24" spans="1:256" ht="15" customHeight="1" x14ac:dyDescent="0.3">
      <c r="A24" s="34">
        <v>2023</v>
      </c>
      <c r="B24" s="9">
        <f>'2.1.2.1'!E10</f>
        <v>911.99603598109468</v>
      </c>
      <c r="C24" s="9">
        <f>'2.1.2.1'!F10</f>
        <v>5004</v>
      </c>
      <c r="D24" s="9">
        <f>'2.1.2.1'!E11</f>
        <v>2637.2894635641633</v>
      </c>
      <c r="E24" s="9">
        <f>'2.1.2.1'!F11</f>
        <v>5072.2208166533228</v>
      </c>
      <c r="F24" s="9">
        <f>'2.1.2.1'!E12</f>
        <v>1224.9390924779211</v>
      </c>
      <c r="G24" s="9">
        <f>'2.1.2.1'!F12</f>
        <v>6484.4197103274555</v>
      </c>
      <c r="H24" s="9">
        <f>'2.1.2.1'!E13</f>
        <v>2528.4084607404457</v>
      </c>
      <c r="I24" s="9">
        <f>'2.1.2.1'!F13</f>
        <v>5197.1257283623099</v>
      </c>
      <c r="J24" s="9">
        <f>'2.1.2.1'!E14</f>
        <v>2299.8968652463022</v>
      </c>
      <c r="K24" s="9">
        <f>'2.1.2.1'!F14</f>
        <v>5999.580043675458</v>
      </c>
      <c r="L24" s="33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33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33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33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33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33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33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33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33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33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33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33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33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33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33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33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33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33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33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33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33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33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33"/>
      <c r="IU24" s="10"/>
      <c r="IV24" s="10"/>
    </row>
    <row r="25" spans="1:256" ht="15" customHeight="1" thickBot="1" x14ac:dyDescent="0.35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4"/>
    </row>
    <row r="26" spans="1:256" ht="15" customHeight="1" thickBot="1" x14ac:dyDescent="0.35"/>
    <row r="27" spans="1:256" s="48" customFormat="1" ht="21" customHeight="1" thickBot="1" x14ac:dyDescent="0.3">
      <c r="A27" s="69" t="s">
        <v>7</v>
      </c>
      <c r="B27" s="67" t="s">
        <v>32</v>
      </c>
      <c r="C27" s="67"/>
      <c r="D27" s="67"/>
      <c r="E27" s="67"/>
      <c r="F27" s="67"/>
      <c r="G27" s="67"/>
      <c r="H27" s="67"/>
      <c r="I27" s="67"/>
      <c r="J27" s="67"/>
      <c r="K27" s="67"/>
    </row>
    <row r="28" spans="1:256" s="14" customFormat="1" ht="21" customHeight="1" x14ac:dyDescent="0.25">
      <c r="A28" s="76"/>
      <c r="B28" s="74" t="s">
        <v>23</v>
      </c>
      <c r="C28" s="74" t="s">
        <v>9</v>
      </c>
      <c r="D28" s="74" t="s">
        <v>24</v>
      </c>
      <c r="E28" s="74" t="s">
        <v>11</v>
      </c>
      <c r="F28" s="74" t="s">
        <v>15</v>
      </c>
      <c r="G28" s="74" t="s">
        <v>13</v>
      </c>
      <c r="H28" s="74" t="s">
        <v>25</v>
      </c>
      <c r="I28" s="74" t="s">
        <v>15</v>
      </c>
      <c r="J28" s="74" t="s">
        <v>27</v>
      </c>
      <c r="K28" s="74" t="s">
        <v>17</v>
      </c>
    </row>
    <row r="29" spans="1:256" s="14" customFormat="1" ht="21" customHeight="1" thickBot="1" x14ac:dyDescent="0.3">
      <c r="A29" s="70"/>
      <c r="B29" s="31" t="s">
        <v>1</v>
      </c>
      <c r="C29" s="31" t="s">
        <v>2</v>
      </c>
      <c r="D29" s="31" t="s">
        <v>1</v>
      </c>
      <c r="E29" s="31" t="s">
        <v>2</v>
      </c>
      <c r="F29" s="31" t="s">
        <v>1</v>
      </c>
      <c r="G29" s="31" t="s">
        <v>2</v>
      </c>
      <c r="H29" s="31" t="s">
        <v>1</v>
      </c>
      <c r="I29" s="31" t="s">
        <v>2</v>
      </c>
      <c r="J29" s="31" t="s">
        <v>1</v>
      </c>
      <c r="K29" s="32" t="s">
        <v>2</v>
      </c>
    </row>
    <row r="30" spans="1:256" s="42" customFormat="1" ht="15" customHeight="1" x14ac:dyDescent="0.3">
      <c r="A30" s="39"/>
      <c r="B30" s="47"/>
      <c r="C30" s="47"/>
      <c r="D30" s="47"/>
      <c r="E30" s="47"/>
      <c r="F30" s="47"/>
      <c r="G30" s="47"/>
      <c r="H30" s="47"/>
      <c r="I30" s="47"/>
      <c r="J30" s="47"/>
      <c r="K30" s="47"/>
    </row>
    <row r="31" spans="1:256" ht="15" customHeight="1" x14ac:dyDescent="0.3">
      <c r="A31" s="33">
        <v>2010</v>
      </c>
      <c r="B31" s="10">
        <v>3300</v>
      </c>
      <c r="C31" s="10">
        <v>5000</v>
      </c>
      <c r="D31" s="10">
        <v>3800</v>
      </c>
      <c r="E31" s="10">
        <v>5200</v>
      </c>
      <c r="F31" s="10">
        <v>2900</v>
      </c>
      <c r="G31" s="10">
        <v>4730</v>
      </c>
      <c r="H31" s="10">
        <v>1999</v>
      </c>
      <c r="I31" s="10">
        <v>4494</v>
      </c>
      <c r="J31" s="10">
        <v>3465.81445148902</v>
      </c>
      <c r="K31" s="10">
        <v>5081.7070250817569</v>
      </c>
      <c r="M31" s="17"/>
      <c r="N31" s="17"/>
      <c r="O31" s="17"/>
    </row>
    <row r="32" spans="1:256" ht="15" customHeight="1" x14ac:dyDescent="0.3">
      <c r="A32" s="34">
        <v>2011</v>
      </c>
      <c r="B32" s="9">
        <v>3500</v>
      </c>
      <c r="C32" s="9">
        <v>5000</v>
      </c>
      <c r="D32" s="9">
        <v>3895</v>
      </c>
      <c r="E32" s="9">
        <v>4979</v>
      </c>
      <c r="F32" s="9">
        <v>3510</v>
      </c>
      <c r="G32" s="9">
        <v>5000</v>
      </c>
      <c r="H32" s="9">
        <v>3098.6675126903551</v>
      </c>
      <c r="I32" s="9">
        <v>4807.1302738712066</v>
      </c>
      <c r="J32" s="9">
        <v>3875.9464251309532</v>
      </c>
      <c r="K32" s="9">
        <v>5253.4252918187231</v>
      </c>
      <c r="M32" s="17"/>
      <c r="N32" s="17"/>
      <c r="O32" s="17"/>
    </row>
    <row r="33" spans="1:15" ht="15" customHeight="1" x14ac:dyDescent="0.3">
      <c r="A33" s="33">
        <v>2012</v>
      </c>
      <c r="B33" s="10">
        <v>2561.9706446064379</v>
      </c>
      <c r="C33" s="10">
        <v>4036.7271876462332</v>
      </c>
      <c r="D33" s="10">
        <v>1310.8054474708172</v>
      </c>
      <c r="E33" s="10">
        <v>3718</v>
      </c>
      <c r="F33" s="10">
        <v>2227.3299519766147</v>
      </c>
      <c r="G33" s="10">
        <v>4305.9629708904113</v>
      </c>
      <c r="H33" s="10">
        <v>2692.3840803709427</v>
      </c>
      <c r="I33" s="10">
        <v>4987.343461215346</v>
      </c>
      <c r="J33" s="10">
        <v>2710.7544322537929</v>
      </c>
      <c r="K33" s="10">
        <v>4684.6699654689219</v>
      </c>
      <c r="M33" s="17"/>
      <c r="N33" s="17"/>
      <c r="O33" s="17"/>
    </row>
    <row r="34" spans="1:15" ht="15" customHeight="1" x14ac:dyDescent="0.3">
      <c r="A34" s="34">
        <v>2013</v>
      </c>
      <c r="B34" s="9">
        <v>3395.0000000000005</v>
      </c>
      <c r="C34" s="9">
        <v>4198</v>
      </c>
      <c r="D34" s="9">
        <v>3999.9928685352052</v>
      </c>
      <c r="E34" s="9">
        <v>4740</v>
      </c>
      <c r="F34" s="9">
        <v>3952.0353506481465</v>
      </c>
      <c r="G34" s="9">
        <v>5128.8749568697804</v>
      </c>
      <c r="H34" s="9">
        <v>3777.9721159103337</v>
      </c>
      <c r="I34" s="9">
        <v>4991.1844556827255</v>
      </c>
      <c r="J34" s="9">
        <v>4054.3595719216173</v>
      </c>
      <c r="K34" s="9">
        <v>5447.8370513057116</v>
      </c>
      <c r="M34" s="17"/>
      <c r="N34" s="17"/>
      <c r="O34" s="17"/>
    </row>
    <row r="35" spans="1:15" ht="15" customHeight="1" x14ac:dyDescent="0.3">
      <c r="A35" s="33">
        <v>2014</v>
      </c>
      <c r="B35" s="10">
        <v>2367.837093733935</v>
      </c>
      <c r="C35" s="10">
        <v>2781.0034359127576</v>
      </c>
      <c r="D35" s="10">
        <v>2773.8535101191751</v>
      </c>
      <c r="E35" s="10">
        <v>4220.8055148137282</v>
      </c>
      <c r="F35" s="10">
        <v>2620</v>
      </c>
      <c r="G35" s="10">
        <v>3990.0000000000005</v>
      </c>
      <c r="H35" s="10">
        <v>2173.2751632515196</v>
      </c>
      <c r="I35" s="10">
        <v>3926.5893648449041</v>
      </c>
      <c r="J35" s="10">
        <v>2977.0360277828881</v>
      </c>
      <c r="K35" s="10">
        <v>4610.2393901306086</v>
      </c>
      <c r="M35" s="17"/>
      <c r="N35" s="17"/>
      <c r="O35" s="17"/>
    </row>
    <row r="36" spans="1:15" ht="15" customHeight="1" x14ac:dyDescent="0.3">
      <c r="A36" s="34">
        <v>2015</v>
      </c>
      <c r="B36" s="9">
        <v>2590.0000000000005</v>
      </c>
      <c r="C36" s="9">
        <v>3939.9999999999995</v>
      </c>
      <c r="D36" s="9">
        <v>2754.9768236891064</v>
      </c>
      <c r="E36" s="9">
        <v>4085.7141463414632</v>
      </c>
      <c r="F36" s="9">
        <v>2770</v>
      </c>
      <c r="G36" s="9">
        <v>5370</v>
      </c>
      <c r="H36" s="9">
        <v>2472.0909822506369</v>
      </c>
      <c r="I36" s="9">
        <v>4999.2501929650462</v>
      </c>
      <c r="J36" s="9">
        <v>3029.2424865922353</v>
      </c>
      <c r="K36" s="9">
        <v>5311.951969087444</v>
      </c>
      <c r="M36" s="17"/>
      <c r="N36" s="17"/>
      <c r="O36" s="17"/>
    </row>
    <row r="37" spans="1:15" ht="15" customHeight="1" x14ac:dyDescent="0.3">
      <c r="A37" s="33">
        <v>2016</v>
      </c>
      <c r="B37" s="10">
        <v>3916.1934278653803</v>
      </c>
      <c r="C37" s="10">
        <v>5139.5681265206813</v>
      </c>
      <c r="D37" s="10">
        <v>3839.39931639316</v>
      </c>
      <c r="E37" s="10">
        <v>4795.358432181537</v>
      </c>
      <c r="F37" s="10">
        <v>4762.2069775279679</v>
      </c>
      <c r="G37" s="10">
        <v>5959.4238851333648</v>
      </c>
      <c r="H37" s="10">
        <v>4244.7080599521132</v>
      </c>
      <c r="I37" s="10">
        <v>4962.1476683937826</v>
      </c>
      <c r="J37" s="10">
        <v>4231.3807797041391</v>
      </c>
      <c r="K37" s="10">
        <v>5745.5632186208486</v>
      </c>
      <c r="M37" s="17"/>
      <c r="N37" s="17"/>
      <c r="O37" s="17"/>
    </row>
    <row r="38" spans="1:15" ht="15" customHeight="1" x14ac:dyDescent="0.3">
      <c r="A38" s="34">
        <v>2017</v>
      </c>
      <c r="B38" s="9">
        <v>1170.6804152325969</v>
      </c>
      <c r="C38" s="9">
        <v>2739.2618707320948</v>
      </c>
      <c r="D38" s="9">
        <v>1698.4371107802328</v>
      </c>
      <c r="E38" s="9">
        <v>3728.8507957559682</v>
      </c>
      <c r="F38" s="9">
        <v>719.87534432976008</v>
      </c>
      <c r="G38" s="9">
        <v>3905.597242061312</v>
      </c>
      <c r="H38" s="9">
        <v>797.51113130395277</v>
      </c>
      <c r="I38" s="9">
        <v>3841.3512946849773</v>
      </c>
      <c r="J38" s="9">
        <v>1494.4854406338975</v>
      </c>
      <c r="K38" s="9">
        <v>3588.257436768592</v>
      </c>
      <c r="M38" s="17"/>
      <c r="N38" s="17"/>
      <c r="O38" s="17"/>
    </row>
    <row r="39" spans="1:15" ht="15" customHeight="1" x14ac:dyDescent="0.3">
      <c r="A39" s="33">
        <v>2018</v>
      </c>
      <c r="B39" s="10">
        <v>3914.3458985930447</v>
      </c>
      <c r="C39" s="10">
        <v>5141.3901525287665</v>
      </c>
      <c r="D39" s="10">
        <v>3625.459433514317</v>
      </c>
      <c r="E39" s="10">
        <v>4737.7679940638136</v>
      </c>
      <c r="F39" s="10">
        <v>3849.2264664130989</v>
      </c>
      <c r="G39" s="10">
        <v>5037.1640394941969</v>
      </c>
      <c r="H39" s="10">
        <v>3483.8961502150423</v>
      </c>
      <c r="I39" s="10">
        <v>5484.0706353540872</v>
      </c>
      <c r="J39" s="10">
        <v>3906.5173550019258</v>
      </c>
      <c r="K39" s="10">
        <v>5619.6803325976871</v>
      </c>
    </row>
    <row r="40" spans="1:15" ht="15" customHeight="1" x14ac:dyDescent="0.3">
      <c r="A40" s="34">
        <v>2019</v>
      </c>
      <c r="B40" s="9">
        <v>1637.905361682459</v>
      </c>
      <c r="C40" s="9">
        <v>3997.675337837838</v>
      </c>
      <c r="D40" s="9">
        <v>3012.1114545839509</v>
      </c>
      <c r="E40" s="9">
        <v>4912.2353494939989</v>
      </c>
      <c r="F40" s="9">
        <v>1762.2757030944451</v>
      </c>
      <c r="G40" s="9">
        <v>3864.7677266196038</v>
      </c>
      <c r="H40" s="9">
        <v>2209.6194609577301</v>
      </c>
      <c r="I40" s="9">
        <v>4737.4042951679357</v>
      </c>
      <c r="J40" s="9">
        <v>2655.3583815191073</v>
      </c>
      <c r="K40" s="9">
        <v>5019.5635505617975</v>
      </c>
      <c r="M40" s="17"/>
      <c r="N40" s="17"/>
      <c r="O40" s="17"/>
    </row>
    <row r="41" spans="1:15" ht="15" customHeight="1" x14ac:dyDescent="0.3">
      <c r="A41" s="33">
        <v>2020</v>
      </c>
      <c r="B41" s="10">
        <v>4007.6505733252866</v>
      </c>
      <c r="C41" s="10">
        <v>5541.9850246933247</v>
      </c>
      <c r="D41" s="10">
        <v>4272.9815844957175</v>
      </c>
      <c r="E41" s="10">
        <v>5998.0294272201791</v>
      </c>
      <c r="F41" s="10">
        <v>4702.1655202841821</v>
      </c>
      <c r="G41" s="10">
        <v>6017.6883932308792</v>
      </c>
      <c r="H41" s="10">
        <v>4079.4948879632525</v>
      </c>
      <c r="I41" s="10">
        <v>5993.649544790379</v>
      </c>
      <c r="J41" s="10">
        <v>4369.1489613156427</v>
      </c>
      <c r="K41" s="10">
        <v>5774.3361427308237</v>
      </c>
    </row>
    <row r="42" spans="1:15" ht="15" customHeight="1" x14ac:dyDescent="0.3">
      <c r="A42" s="34">
        <v>2021</v>
      </c>
      <c r="B42" s="9">
        <v>3468.982660261222</v>
      </c>
      <c r="C42" s="9">
        <v>5409.6023438754219</v>
      </c>
      <c r="D42" s="9">
        <v>4120.9796368788657</v>
      </c>
      <c r="E42" s="9">
        <v>5337</v>
      </c>
      <c r="F42" s="9">
        <v>3777.8056904438749</v>
      </c>
      <c r="G42" s="9">
        <v>5415.4751420818184</v>
      </c>
      <c r="H42" s="9">
        <v>3751.4276800078001</v>
      </c>
      <c r="I42" s="9">
        <v>5912.8349675002755</v>
      </c>
      <c r="J42" s="9">
        <v>4085.4016077642768</v>
      </c>
      <c r="K42" s="9">
        <v>5868.8954214945334</v>
      </c>
      <c r="M42" s="17"/>
      <c r="N42" s="17"/>
      <c r="O42" s="17"/>
    </row>
    <row r="43" spans="1:15" ht="15" customHeight="1" x14ac:dyDescent="0.3">
      <c r="A43" s="33">
        <v>2022</v>
      </c>
      <c r="B43" s="10">
        <v>2249.8343069406124</v>
      </c>
      <c r="C43" s="10">
        <v>4491.2413494809689</v>
      </c>
      <c r="D43" s="10">
        <v>2170.9867275340266</v>
      </c>
      <c r="E43" s="10">
        <v>4992.1481481481478</v>
      </c>
      <c r="F43" s="10">
        <v>2530.2469436466663</v>
      </c>
      <c r="G43" s="10">
        <v>4916.5990290300206</v>
      </c>
      <c r="H43" s="10">
        <v>1602.0339442302252</v>
      </c>
      <c r="I43" s="10">
        <v>4099.9129714048904</v>
      </c>
      <c r="J43" s="10">
        <v>2632.224720928737</v>
      </c>
      <c r="K43" s="10">
        <v>5302.3916726995249</v>
      </c>
      <c r="M43" s="17"/>
      <c r="N43" s="17"/>
      <c r="O43" s="17"/>
    </row>
    <row r="44" spans="1:15" ht="15" customHeight="1" x14ac:dyDescent="0.3">
      <c r="A44" s="34">
        <v>2023</v>
      </c>
      <c r="B44" s="9">
        <f>'2.1.2.1'!E15</f>
        <v>1565.6508096164628</v>
      </c>
      <c r="C44" s="9">
        <f>'2.1.2.1'!F15</f>
        <v>3000</v>
      </c>
      <c r="D44" s="9">
        <f>'2.1.2.1'!E16</f>
        <v>957.99463916126626</v>
      </c>
      <c r="E44" s="9">
        <f>'2.1.2.1'!F16</f>
        <v>3100</v>
      </c>
      <c r="F44" s="9">
        <f>'2.1.2.1'!E17</f>
        <v>1596.6158026240603</v>
      </c>
      <c r="G44" s="9">
        <f>'2.1.2.1'!F17</f>
        <v>4919.9632524964336</v>
      </c>
      <c r="H44" s="9">
        <f>'2.1.2.1'!E18</f>
        <v>1592.8495799039781</v>
      </c>
      <c r="I44" s="9">
        <f>'2.1.2.1'!F18</f>
        <v>4441</v>
      </c>
      <c r="J44" s="9">
        <f>'2.1.2.1'!E20</f>
        <v>1933.0295054841292</v>
      </c>
      <c r="K44" s="9">
        <f>'2.1.2.1'!F20</f>
        <v>5159.0258042739424</v>
      </c>
      <c r="M44" s="17"/>
      <c r="N44" s="17"/>
      <c r="O44" s="17"/>
    </row>
    <row r="45" spans="1:15" ht="15" customHeight="1" thickBot="1" x14ac:dyDescent="0.35">
      <c r="A45" s="43"/>
      <c r="B45" s="44"/>
      <c r="C45" s="44"/>
      <c r="D45" s="44"/>
      <c r="E45" s="44"/>
      <c r="F45" s="44"/>
      <c r="G45" s="44"/>
      <c r="H45" s="44"/>
      <c r="I45" s="44"/>
      <c r="J45" s="44"/>
      <c r="K45" s="44"/>
    </row>
    <row r="46" spans="1:15" ht="15" customHeight="1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5" ht="1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</sheetData>
  <mergeCells count="16">
    <mergeCell ref="B27:K27"/>
    <mergeCell ref="B8:C8"/>
    <mergeCell ref="D8:E8"/>
    <mergeCell ref="F8:G8"/>
    <mergeCell ref="H8:I8"/>
    <mergeCell ref="J8:K8"/>
    <mergeCell ref="B28:C28"/>
    <mergeCell ref="D28:E28"/>
    <mergeCell ref="F28:G28"/>
    <mergeCell ref="A2:K2"/>
    <mergeCell ref="A5:K5"/>
    <mergeCell ref="B7:K7"/>
    <mergeCell ref="H28:I28"/>
    <mergeCell ref="J28:K28"/>
    <mergeCell ref="A7:A9"/>
    <mergeCell ref="A27:A29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1CD0-B960-4B36-A872-398FFD24D26B}">
  <sheetPr codeName="Hoja87"/>
  <dimension ref="A2:N42"/>
  <sheetViews>
    <sheetView showGridLines="0" topLeftCell="A33" zoomScaleNormal="100" workbookViewId="0">
      <selection activeCell="K42" sqref="K42"/>
    </sheetView>
  </sheetViews>
  <sheetFormatPr baseColWidth="10" defaultColWidth="11.44140625" defaultRowHeight="15" customHeight="1" x14ac:dyDescent="0.3"/>
  <cols>
    <col min="1" max="1" width="9.44140625" style="7" customWidth="1"/>
    <col min="2" max="10" width="10.109375" style="7" customWidth="1"/>
    <col min="11" max="11" width="11.5546875" style="7" customWidth="1"/>
    <col min="12" max="12" width="8.109375" style="7" customWidth="1"/>
    <col min="13" max="13" width="11.44140625" style="7"/>
    <col min="14" max="14" width="13.6640625" style="7" bestFit="1" customWidth="1"/>
    <col min="15" max="16384" width="11.44140625" style="7"/>
  </cols>
  <sheetData>
    <row r="2" spans="1:11" s="15" customFormat="1" ht="21" customHeight="1" x14ac:dyDescent="0.4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s="16" customFormat="1" ht="21" customHeight="1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14.4" x14ac:dyDescent="0.3"/>
    <row r="5" spans="1:11" s="16" customFormat="1" ht="21" customHeight="1" x14ac:dyDescent="0.3">
      <c r="A5" s="66" t="s">
        <v>35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s="16" customFormat="1" thickBot="1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8" customFormat="1" ht="21" customHeight="1" thickBot="1" x14ac:dyDescent="0.3">
      <c r="A7" s="69" t="s">
        <v>7</v>
      </c>
      <c r="B7" s="67" t="s">
        <v>29</v>
      </c>
      <c r="C7" s="67"/>
      <c r="D7" s="67"/>
      <c r="E7" s="67"/>
      <c r="F7" s="67"/>
      <c r="G7" s="67"/>
      <c r="H7" s="67"/>
      <c r="I7" s="67"/>
      <c r="J7" s="67"/>
      <c r="K7" s="67"/>
    </row>
    <row r="8" spans="1:11" s="14" customFormat="1" ht="28.2" thickBot="1" x14ac:dyDescent="0.3">
      <c r="A8" s="70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1" ht="15" customHeight="1" x14ac:dyDescent="0.3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3">
      <c r="A10" s="34">
        <v>2010</v>
      </c>
      <c r="B10" s="9">
        <v>0</v>
      </c>
      <c r="C10" s="9">
        <v>1147</v>
      </c>
      <c r="D10" s="9">
        <v>30</v>
      </c>
      <c r="E10" s="9">
        <v>148</v>
      </c>
      <c r="F10" s="9">
        <v>115</v>
      </c>
      <c r="G10" s="9">
        <v>0</v>
      </c>
      <c r="H10" s="9">
        <v>88</v>
      </c>
      <c r="I10" s="9">
        <v>468</v>
      </c>
      <c r="J10" s="9">
        <v>119</v>
      </c>
      <c r="K10" s="9">
        <v>2115</v>
      </c>
    </row>
    <row r="11" spans="1:11" ht="15" customHeight="1" x14ac:dyDescent="0.3">
      <c r="A11" s="33">
        <v>2011</v>
      </c>
      <c r="B11" s="10">
        <v>0</v>
      </c>
      <c r="C11" s="10">
        <v>902</v>
      </c>
      <c r="D11" s="10">
        <v>64</v>
      </c>
      <c r="E11" s="10">
        <v>51</v>
      </c>
      <c r="F11" s="10">
        <v>47</v>
      </c>
      <c r="G11" s="10">
        <v>0</v>
      </c>
      <c r="H11" s="10">
        <v>80</v>
      </c>
      <c r="I11" s="10">
        <v>253</v>
      </c>
      <c r="J11" s="10">
        <v>66</v>
      </c>
      <c r="K11" s="10">
        <v>1463</v>
      </c>
    </row>
    <row r="12" spans="1:11" ht="15" customHeight="1" x14ac:dyDescent="0.3">
      <c r="A12" s="34">
        <v>2012</v>
      </c>
      <c r="B12" s="9">
        <v>3</v>
      </c>
      <c r="C12" s="9">
        <v>612</v>
      </c>
      <c r="D12" s="9">
        <v>35</v>
      </c>
      <c r="E12" s="9">
        <v>65</v>
      </c>
      <c r="F12" s="9">
        <v>69</v>
      </c>
      <c r="G12" s="9">
        <v>261</v>
      </c>
      <c r="H12" s="9">
        <v>145</v>
      </c>
      <c r="I12" s="9">
        <v>474</v>
      </c>
      <c r="J12" s="9">
        <v>112</v>
      </c>
      <c r="K12" s="9">
        <v>1776</v>
      </c>
    </row>
    <row r="13" spans="1:11" ht="15" customHeight="1" x14ac:dyDescent="0.3">
      <c r="A13" s="33">
        <v>2013</v>
      </c>
      <c r="B13" s="10">
        <v>25</v>
      </c>
      <c r="C13" s="10">
        <v>409</v>
      </c>
      <c r="D13" s="10">
        <v>29</v>
      </c>
      <c r="E13" s="10">
        <v>35</v>
      </c>
      <c r="F13" s="10">
        <v>38</v>
      </c>
      <c r="G13" s="10">
        <v>122</v>
      </c>
      <c r="H13" s="10">
        <v>6</v>
      </c>
      <c r="I13" s="10">
        <v>588</v>
      </c>
      <c r="J13" s="10">
        <v>124</v>
      </c>
      <c r="K13" s="10">
        <v>1376</v>
      </c>
    </row>
    <row r="14" spans="1:11" ht="15" customHeight="1" x14ac:dyDescent="0.3">
      <c r="A14" s="34">
        <v>2014</v>
      </c>
      <c r="B14" s="9">
        <v>6</v>
      </c>
      <c r="C14" s="9">
        <v>351</v>
      </c>
      <c r="D14" s="9">
        <v>50</v>
      </c>
      <c r="E14" s="9">
        <v>93</v>
      </c>
      <c r="F14" s="9">
        <v>54</v>
      </c>
      <c r="G14" s="9">
        <v>166</v>
      </c>
      <c r="H14" s="9">
        <v>58</v>
      </c>
      <c r="I14" s="9">
        <v>730</v>
      </c>
      <c r="J14" s="9">
        <v>97</v>
      </c>
      <c r="K14" s="9">
        <v>1605</v>
      </c>
    </row>
    <row r="15" spans="1:11" ht="15" customHeight="1" x14ac:dyDescent="0.3">
      <c r="A15" s="33">
        <v>2015</v>
      </c>
      <c r="B15" s="10">
        <v>0</v>
      </c>
      <c r="C15" s="10">
        <v>396</v>
      </c>
      <c r="D15" s="10">
        <v>51</v>
      </c>
      <c r="E15" s="10">
        <v>183</v>
      </c>
      <c r="F15" s="10">
        <v>62</v>
      </c>
      <c r="G15" s="10">
        <v>62</v>
      </c>
      <c r="H15" s="10">
        <v>161</v>
      </c>
      <c r="I15" s="10">
        <v>180</v>
      </c>
      <c r="J15" s="10">
        <v>56</v>
      </c>
      <c r="K15" s="10">
        <f>SUM(B15:J15)</f>
        <v>1151</v>
      </c>
    </row>
    <row r="16" spans="1:11" ht="15" customHeight="1" x14ac:dyDescent="0.3">
      <c r="A16" s="34">
        <v>2016</v>
      </c>
      <c r="B16" s="9">
        <v>11</v>
      </c>
      <c r="C16" s="9">
        <v>884</v>
      </c>
      <c r="D16" s="9">
        <v>298</v>
      </c>
      <c r="E16" s="9">
        <v>736</v>
      </c>
      <c r="F16" s="9">
        <v>163</v>
      </c>
      <c r="G16" s="9">
        <v>150</v>
      </c>
      <c r="H16" s="9">
        <v>163</v>
      </c>
      <c r="I16" s="9">
        <v>1843</v>
      </c>
      <c r="J16" s="9">
        <v>199</v>
      </c>
      <c r="K16" s="9">
        <v>4447</v>
      </c>
    </row>
    <row r="17" spans="1:11" ht="15" customHeight="1" x14ac:dyDescent="0.3">
      <c r="A17" s="33">
        <v>2017</v>
      </c>
      <c r="B17" s="10">
        <v>99</v>
      </c>
      <c r="C17" s="10">
        <v>1185</v>
      </c>
      <c r="D17" s="10">
        <v>1255</v>
      </c>
      <c r="E17" s="10">
        <v>810</v>
      </c>
      <c r="F17" s="10">
        <v>349</v>
      </c>
      <c r="G17" s="10">
        <v>129</v>
      </c>
      <c r="H17" s="10">
        <v>454</v>
      </c>
      <c r="I17" s="10">
        <v>3143</v>
      </c>
      <c r="J17" s="10">
        <v>640</v>
      </c>
      <c r="K17" s="10">
        <v>8064</v>
      </c>
    </row>
    <row r="18" spans="1:11" ht="15" customHeight="1" x14ac:dyDescent="0.3">
      <c r="A18" s="34">
        <v>2018</v>
      </c>
      <c r="B18" s="9">
        <v>66</v>
      </c>
      <c r="C18" s="9">
        <v>623</v>
      </c>
      <c r="D18" s="9">
        <v>1040</v>
      </c>
      <c r="E18" s="9">
        <v>417</v>
      </c>
      <c r="F18" s="9">
        <v>155</v>
      </c>
      <c r="G18" s="9">
        <v>51</v>
      </c>
      <c r="H18" s="9">
        <v>162</v>
      </c>
      <c r="I18" s="9">
        <v>2038</v>
      </c>
      <c r="J18" s="9">
        <v>416</v>
      </c>
      <c r="K18" s="9">
        <v>4968</v>
      </c>
    </row>
    <row r="19" spans="1:11" ht="15" customHeight="1" x14ac:dyDescent="0.3">
      <c r="A19" s="33">
        <v>2019</v>
      </c>
      <c r="B19" s="10">
        <v>0</v>
      </c>
      <c r="C19" s="10">
        <v>649</v>
      </c>
      <c r="D19" s="10">
        <v>260</v>
      </c>
      <c r="E19" s="10">
        <v>339</v>
      </c>
      <c r="F19" s="10">
        <v>93</v>
      </c>
      <c r="G19" s="10">
        <v>67</v>
      </c>
      <c r="H19" s="10">
        <v>101</v>
      </c>
      <c r="I19" s="10">
        <v>1243</v>
      </c>
      <c r="J19" s="10">
        <v>238</v>
      </c>
      <c r="K19" s="10">
        <v>2990</v>
      </c>
    </row>
    <row r="20" spans="1:11" ht="15" customHeight="1" x14ac:dyDescent="0.3">
      <c r="A20" s="34">
        <v>2020</v>
      </c>
      <c r="B20" s="9">
        <v>5</v>
      </c>
      <c r="C20" s="9">
        <v>341</v>
      </c>
      <c r="D20" s="9">
        <v>180</v>
      </c>
      <c r="E20" s="9">
        <v>154</v>
      </c>
      <c r="F20" s="9">
        <v>55</v>
      </c>
      <c r="G20" s="9">
        <v>7</v>
      </c>
      <c r="H20" s="9">
        <v>17</v>
      </c>
      <c r="I20" s="9">
        <v>752</v>
      </c>
      <c r="J20" s="9">
        <v>165</v>
      </c>
      <c r="K20" s="9">
        <v>1676</v>
      </c>
    </row>
    <row r="21" spans="1:11" ht="15" customHeight="1" x14ac:dyDescent="0.3">
      <c r="A21" s="33">
        <v>2021</v>
      </c>
      <c r="B21" s="10">
        <v>7</v>
      </c>
      <c r="C21" s="10">
        <v>387</v>
      </c>
      <c r="D21" s="10">
        <v>44</v>
      </c>
      <c r="E21" s="10">
        <v>177</v>
      </c>
      <c r="F21" s="10">
        <v>40</v>
      </c>
      <c r="G21" s="10">
        <v>98</v>
      </c>
      <c r="H21" s="10">
        <v>2</v>
      </c>
      <c r="I21" s="10">
        <v>601</v>
      </c>
      <c r="J21" s="10">
        <v>94</v>
      </c>
      <c r="K21" s="10">
        <f>SUM(B21:J21)</f>
        <v>1450</v>
      </c>
    </row>
    <row r="22" spans="1:11" ht="15" customHeight="1" x14ac:dyDescent="0.3">
      <c r="A22" s="34">
        <v>2022</v>
      </c>
      <c r="B22" s="9">
        <v>29</v>
      </c>
      <c r="C22" s="9">
        <v>462</v>
      </c>
      <c r="D22" s="9">
        <v>42</v>
      </c>
      <c r="E22" s="9">
        <v>158</v>
      </c>
      <c r="F22" s="9">
        <v>40</v>
      </c>
      <c r="G22" s="9">
        <v>70</v>
      </c>
      <c r="H22" s="9">
        <v>16</v>
      </c>
      <c r="I22" s="9">
        <v>561</v>
      </c>
      <c r="J22" s="9">
        <v>87</v>
      </c>
      <c r="K22" s="9">
        <v>1465</v>
      </c>
    </row>
    <row r="23" spans="1:11" ht="15" customHeight="1" x14ac:dyDescent="0.3">
      <c r="A23" s="33">
        <v>2023</v>
      </c>
      <c r="B23" s="62">
        <v>13</v>
      </c>
      <c r="C23" s="62">
        <v>368</v>
      </c>
      <c r="D23" s="62">
        <v>27</v>
      </c>
      <c r="E23" s="62">
        <v>93</v>
      </c>
      <c r="F23" s="62">
        <v>61</v>
      </c>
      <c r="G23" s="62">
        <v>56</v>
      </c>
      <c r="H23" s="62">
        <v>3</v>
      </c>
      <c r="I23" s="62">
        <v>296</v>
      </c>
      <c r="J23" s="62">
        <v>56</v>
      </c>
      <c r="K23" s="62">
        <f>SUM(B23:J23)</f>
        <v>973</v>
      </c>
    </row>
    <row r="24" spans="1:11" ht="15" customHeight="1" thickBot="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s="48" customFormat="1" ht="21" customHeight="1" thickBot="1" x14ac:dyDescent="0.3">
      <c r="A25" s="69" t="s">
        <v>7</v>
      </c>
      <c r="B25" s="67" t="s">
        <v>28</v>
      </c>
      <c r="C25" s="67"/>
      <c r="D25" s="67"/>
      <c r="E25" s="67"/>
      <c r="F25" s="67"/>
      <c r="G25" s="67"/>
      <c r="H25" s="67"/>
      <c r="I25" s="67"/>
      <c r="J25" s="67"/>
      <c r="K25" s="67"/>
    </row>
    <row r="26" spans="1:11" s="14" customFormat="1" ht="28.2" thickBot="1" x14ac:dyDescent="0.3">
      <c r="A26" s="70"/>
      <c r="B26" s="12" t="s">
        <v>8</v>
      </c>
      <c r="C26" s="12" t="s">
        <v>9</v>
      </c>
      <c r="D26" s="12" t="s">
        <v>10</v>
      </c>
      <c r="E26" s="12" t="s">
        <v>11</v>
      </c>
      <c r="F26" s="12" t="s">
        <v>12</v>
      </c>
      <c r="G26" s="12" t="s">
        <v>13</v>
      </c>
      <c r="H26" s="12" t="s">
        <v>14</v>
      </c>
      <c r="I26" s="12" t="s">
        <v>15</v>
      </c>
      <c r="J26" s="12" t="s">
        <v>16</v>
      </c>
      <c r="K26" s="13" t="s">
        <v>27</v>
      </c>
    </row>
    <row r="27" spans="1:11" ht="15" customHeight="1" x14ac:dyDescent="0.3">
      <c r="A27" s="3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" customHeight="1" x14ac:dyDescent="0.3">
      <c r="A28" s="34">
        <v>2010</v>
      </c>
      <c r="B28" s="9">
        <v>0</v>
      </c>
      <c r="C28" s="9">
        <v>2993</v>
      </c>
      <c r="D28" s="9">
        <v>137.39999999999998</v>
      </c>
      <c r="E28" s="9">
        <v>443.99984000000001</v>
      </c>
      <c r="F28" s="9">
        <v>310.5</v>
      </c>
      <c r="G28" s="9">
        <v>0</v>
      </c>
      <c r="H28" s="9">
        <v>337.2</v>
      </c>
      <c r="I28" s="9">
        <v>1606.08</v>
      </c>
      <c r="J28" s="9">
        <v>208.8</v>
      </c>
      <c r="K28" s="9">
        <v>6036.9798400000009</v>
      </c>
    </row>
    <row r="29" spans="1:11" ht="15" customHeight="1" x14ac:dyDescent="0.3">
      <c r="A29" s="33">
        <v>2011</v>
      </c>
      <c r="B29" s="10">
        <v>0</v>
      </c>
      <c r="C29" s="10">
        <v>2543.64</v>
      </c>
      <c r="D29" s="10">
        <v>322.39999999999998</v>
      </c>
      <c r="E29" s="10">
        <v>211.54900000000001</v>
      </c>
      <c r="F29" s="10">
        <v>132.07</v>
      </c>
      <c r="G29" s="10">
        <v>0</v>
      </c>
      <c r="H29" s="10">
        <v>313.76799999999997</v>
      </c>
      <c r="I29" s="10">
        <v>1004.25</v>
      </c>
      <c r="J29" s="10">
        <v>125.4</v>
      </c>
      <c r="K29" s="10">
        <v>4653.0769999999993</v>
      </c>
    </row>
    <row r="30" spans="1:11" ht="15" customHeight="1" x14ac:dyDescent="0.3">
      <c r="A30" s="34">
        <v>2012</v>
      </c>
      <c r="B30" s="9">
        <v>7.3</v>
      </c>
      <c r="C30" s="9">
        <v>1521.5809999999999</v>
      </c>
      <c r="D30" s="9">
        <v>180.1</v>
      </c>
      <c r="E30" s="9">
        <v>178</v>
      </c>
      <c r="F30" s="9">
        <v>176.92599999999999</v>
      </c>
      <c r="G30" s="9">
        <v>667.59</v>
      </c>
      <c r="H30" s="9">
        <v>171.245</v>
      </c>
      <c r="I30" s="9">
        <v>1433.7090000000001</v>
      </c>
      <c r="J30" s="9">
        <v>243.6</v>
      </c>
      <c r="K30" s="9">
        <v>4580.0510000000004</v>
      </c>
    </row>
    <row r="31" spans="1:11" ht="15" customHeight="1" x14ac:dyDescent="0.3">
      <c r="A31" s="33">
        <v>2013</v>
      </c>
      <c r="B31" s="10">
        <v>77.77000000000001</v>
      </c>
      <c r="C31" s="10">
        <v>1496.32</v>
      </c>
      <c r="D31" s="10">
        <v>127.13</v>
      </c>
      <c r="E31" s="10">
        <v>165.50200000000001</v>
      </c>
      <c r="F31" s="10">
        <v>129.01</v>
      </c>
      <c r="G31" s="10">
        <v>444.84</v>
      </c>
      <c r="H31" s="10">
        <v>23.297999999999998</v>
      </c>
      <c r="I31" s="10">
        <v>2679.7060000000001</v>
      </c>
      <c r="J31" s="10">
        <v>275.92399999999998</v>
      </c>
      <c r="K31" s="10">
        <v>5419.4999999999991</v>
      </c>
    </row>
    <row r="32" spans="1:11" ht="15" customHeight="1" x14ac:dyDescent="0.3">
      <c r="A32" s="34">
        <v>2014</v>
      </c>
      <c r="B32" s="9">
        <v>8.85</v>
      </c>
      <c r="C32" s="9">
        <v>1061.7750000000001</v>
      </c>
      <c r="D32" s="9">
        <v>264</v>
      </c>
      <c r="E32" s="9">
        <v>320.76799999999997</v>
      </c>
      <c r="F32" s="9">
        <v>125.98599999999999</v>
      </c>
      <c r="G32" s="9">
        <v>397.86400000000003</v>
      </c>
      <c r="H32" s="9">
        <v>149.5</v>
      </c>
      <c r="I32" s="9">
        <v>2244.14</v>
      </c>
      <c r="J32" s="9">
        <v>175.733</v>
      </c>
      <c r="K32" s="9">
        <v>4748.616</v>
      </c>
    </row>
    <row r="33" spans="1:14" ht="15" customHeight="1" x14ac:dyDescent="0.3">
      <c r="A33" s="33">
        <v>2015</v>
      </c>
      <c r="B33" s="10">
        <v>0</v>
      </c>
      <c r="C33" s="10">
        <v>1268.9159999999999</v>
      </c>
      <c r="D33" s="10">
        <v>244</v>
      </c>
      <c r="E33" s="10">
        <v>777.55899999999997</v>
      </c>
      <c r="F33" s="10">
        <v>180.83</v>
      </c>
      <c r="G33" s="10">
        <v>167.01999999999998</v>
      </c>
      <c r="H33" s="10">
        <v>343.44400000000002</v>
      </c>
      <c r="I33" s="10">
        <v>758.6</v>
      </c>
      <c r="J33" s="10">
        <v>80.8</v>
      </c>
      <c r="K33" s="10">
        <f>SUM(B33:J33)</f>
        <v>3821.1689999999999</v>
      </c>
    </row>
    <row r="34" spans="1:14" ht="15" customHeight="1" x14ac:dyDescent="0.3">
      <c r="A34" s="34">
        <v>2016</v>
      </c>
      <c r="B34" s="9">
        <v>27.995000000000001</v>
      </c>
      <c r="C34" s="9">
        <v>3581.9839999999999</v>
      </c>
      <c r="D34" s="9">
        <v>1843.9059999999999</v>
      </c>
      <c r="E34" s="9">
        <v>3088.4209999999998</v>
      </c>
      <c r="F34" s="9">
        <v>565.03599999999994</v>
      </c>
      <c r="G34" s="9">
        <v>551.35799999999995</v>
      </c>
      <c r="H34" s="9">
        <v>458.16</v>
      </c>
      <c r="I34" s="9">
        <v>9846.6540000000005</v>
      </c>
      <c r="J34" s="9">
        <v>529.01099999999997</v>
      </c>
      <c r="K34" s="9">
        <v>20492.525000000001</v>
      </c>
    </row>
    <row r="35" spans="1:14" ht="15" customHeight="1" x14ac:dyDescent="0.3">
      <c r="A35" s="33">
        <v>2017</v>
      </c>
      <c r="B35" s="10">
        <v>341.55</v>
      </c>
      <c r="C35" s="10">
        <v>2094.7399999999998</v>
      </c>
      <c r="D35" s="10">
        <v>3226.1770000000001</v>
      </c>
      <c r="E35" s="10">
        <v>1735.32</v>
      </c>
      <c r="F35" s="10">
        <v>679.08799999999997</v>
      </c>
      <c r="G35" s="10">
        <v>300.95800000000003</v>
      </c>
      <c r="H35" s="10">
        <v>453.12900000000002</v>
      </c>
      <c r="I35" s="10">
        <v>8318.02</v>
      </c>
      <c r="J35" s="10">
        <v>1985.58</v>
      </c>
      <c r="K35" s="10">
        <f>SUM(B35:J35)</f>
        <v>19134.562000000005</v>
      </c>
    </row>
    <row r="36" spans="1:14" ht="15" customHeight="1" x14ac:dyDescent="0.3">
      <c r="A36" s="34">
        <v>2018</v>
      </c>
      <c r="B36" s="9">
        <v>299.83800000000002</v>
      </c>
      <c r="C36" s="9">
        <v>2163.3989999999999</v>
      </c>
      <c r="D36" s="9">
        <v>6227.1350000000002</v>
      </c>
      <c r="E36" s="9">
        <v>2170.393</v>
      </c>
      <c r="F36" s="9">
        <v>622.85199999999998</v>
      </c>
      <c r="G36" s="9">
        <v>168.898</v>
      </c>
      <c r="H36" s="9">
        <v>438.5</v>
      </c>
      <c r="I36" s="9">
        <v>7905.4059999999999</v>
      </c>
      <c r="J36" s="9">
        <v>1974.0039999999999</v>
      </c>
      <c r="K36" s="9">
        <v>21970.424999999999</v>
      </c>
    </row>
    <row r="37" spans="1:14" ht="15" customHeight="1" x14ac:dyDescent="0.3">
      <c r="A37" s="33">
        <v>2019</v>
      </c>
      <c r="B37" s="10">
        <v>0</v>
      </c>
      <c r="C37" s="10">
        <v>2191.9989999999998</v>
      </c>
      <c r="D37" s="10">
        <v>1277.798</v>
      </c>
      <c r="E37" s="10">
        <v>1252.7139999999999</v>
      </c>
      <c r="F37" s="10">
        <v>242.38200000000001</v>
      </c>
      <c r="G37" s="10">
        <v>191.15</v>
      </c>
      <c r="H37" s="10">
        <v>359.2</v>
      </c>
      <c r="I37" s="10">
        <v>4355.799</v>
      </c>
      <c r="J37" s="10">
        <v>719.94200000000001</v>
      </c>
      <c r="K37" s="10">
        <v>10590.983999999997</v>
      </c>
    </row>
    <row r="38" spans="1:14" ht="15" customHeight="1" x14ac:dyDescent="0.3">
      <c r="A38" s="34">
        <v>2020</v>
      </c>
      <c r="B38" s="9">
        <v>29.15</v>
      </c>
      <c r="C38" s="9">
        <v>1606.951</v>
      </c>
      <c r="D38" s="9">
        <v>987</v>
      </c>
      <c r="E38" s="9">
        <v>834.02</v>
      </c>
      <c r="F38" s="9">
        <v>211.90199999999999</v>
      </c>
      <c r="G38" s="9">
        <v>22.26</v>
      </c>
      <c r="H38" s="9">
        <v>89.5</v>
      </c>
      <c r="I38" s="9">
        <v>3356.4290000000001</v>
      </c>
      <c r="J38" s="9">
        <v>802.98</v>
      </c>
      <c r="K38" s="9">
        <v>7940.1920000000009</v>
      </c>
    </row>
    <row r="39" spans="1:14" ht="15" customHeight="1" x14ac:dyDescent="0.3">
      <c r="A39" s="33">
        <v>2021</v>
      </c>
      <c r="B39" s="10">
        <v>20.86</v>
      </c>
      <c r="C39" s="10">
        <v>1642.8</v>
      </c>
      <c r="D39" s="10">
        <v>255.84</v>
      </c>
      <c r="E39" s="10">
        <v>601.25099999999998</v>
      </c>
      <c r="F39" s="10">
        <v>179.017</v>
      </c>
      <c r="G39" s="10">
        <v>317.39999999999998</v>
      </c>
      <c r="H39" s="10">
        <v>6</v>
      </c>
      <c r="I39" s="10">
        <v>2751.4989999999998</v>
      </c>
      <c r="J39" s="10">
        <v>371.358</v>
      </c>
      <c r="K39" s="10">
        <f>SUM(B39:J39)</f>
        <v>6146.0249999999996</v>
      </c>
    </row>
    <row r="40" spans="1:14" ht="15" customHeight="1" x14ac:dyDescent="0.3">
      <c r="A40" s="34">
        <v>2022</v>
      </c>
      <c r="B40" s="9">
        <v>34.655000000000001</v>
      </c>
      <c r="C40" s="9">
        <v>1565.126</v>
      </c>
      <c r="D40" s="9">
        <v>198.12</v>
      </c>
      <c r="E40" s="9">
        <v>523.49800000000005</v>
      </c>
      <c r="F40" s="9">
        <v>160.68100000000001</v>
      </c>
      <c r="G40" s="9">
        <v>167</v>
      </c>
      <c r="H40" s="9">
        <v>50.6</v>
      </c>
      <c r="I40" s="9">
        <v>2260.7640000000001</v>
      </c>
      <c r="J40" s="9">
        <v>215.75399999999999</v>
      </c>
      <c r="K40" s="9">
        <v>5176.1979999999994</v>
      </c>
    </row>
    <row r="41" spans="1:14" ht="15" customHeight="1" x14ac:dyDescent="0.3">
      <c r="A41" s="33">
        <v>2023</v>
      </c>
      <c r="B41" s="62">
        <v>12</v>
      </c>
      <c r="C41" s="62">
        <v>1074</v>
      </c>
      <c r="D41" s="62">
        <v>122</v>
      </c>
      <c r="E41" s="62">
        <v>233</v>
      </c>
      <c r="F41" s="62">
        <v>151</v>
      </c>
      <c r="G41" s="62">
        <v>91</v>
      </c>
      <c r="H41" s="62">
        <v>2</v>
      </c>
      <c r="I41" s="62">
        <v>895</v>
      </c>
      <c r="J41" s="62">
        <v>159</v>
      </c>
      <c r="K41" s="62">
        <f>SUM(B41:J419)</f>
        <v>2739</v>
      </c>
    </row>
    <row r="42" spans="1:14" ht="15" customHeight="1" thickBot="1" x14ac:dyDescent="0.35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4"/>
      <c r="N42" s="20"/>
    </row>
  </sheetData>
  <mergeCells count="6">
    <mergeCell ref="A25:A26"/>
    <mergeCell ref="B25:K25"/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  <colBreaks count="1" manualBreakCount="1">
    <brk id="11" max="1048575" man="1"/>
  </colBreaks>
  <ignoredErrors>
    <ignoredError sqref="K21 K35 K15 K39 K33 K2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F66C-439E-4209-800A-662CFF74C000}">
  <sheetPr codeName="Hoja89"/>
  <dimension ref="A2:M42"/>
  <sheetViews>
    <sheetView showGridLines="0" topLeftCell="A8" zoomScaleNormal="100" workbookViewId="0">
      <selection activeCell="J47" sqref="J47"/>
    </sheetView>
  </sheetViews>
  <sheetFormatPr baseColWidth="10" defaultColWidth="11.44140625" defaultRowHeight="15" customHeight="1" x14ac:dyDescent="0.3"/>
  <cols>
    <col min="1" max="1" width="9.44140625" style="7" customWidth="1"/>
    <col min="2" max="2" width="10.109375" style="7" customWidth="1"/>
    <col min="3" max="3" width="11.44140625" style="7" bestFit="1" customWidth="1"/>
    <col min="4" max="10" width="10.109375" style="7" customWidth="1"/>
    <col min="11" max="11" width="11.6640625" style="7" customWidth="1"/>
    <col min="12" max="12" width="11.44140625" style="7"/>
    <col min="13" max="13" width="13.109375" style="7" bestFit="1" customWidth="1"/>
    <col min="14" max="16384" width="11.44140625" style="7"/>
  </cols>
  <sheetData>
    <row r="2" spans="1:11" s="15" customFormat="1" ht="21" customHeight="1" x14ac:dyDescent="0.4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s="16" customFormat="1" thickBo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14.4" x14ac:dyDescent="0.3"/>
    <row r="5" spans="1:11" s="16" customFormat="1" ht="21" customHeight="1" x14ac:dyDescent="0.3">
      <c r="A5" s="66" t="s">
        <v>36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1" s="16" customFormat="1" thickBot="1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8" customFormat="1" ht="21" customHeight="1" thickBot="1" x14ac:dyDescent="0.3">
      <c r="A7" s="69" t="s">
        <v>7</v>
      </c>
      <c r="B7" s="67" t="s">
        <v>29</v>
      </c>
      <c r="C7" s="67"/>
      <c r="D7" s="67"/>
      <c r="E7" s="67"/>
      <c r="F7" s="67"/>
      <c r="G7" s="67"/>
      <c r="H7" s="67"/>
      <c r="I7" s="67"/>
      <c r="J7" s="67"/>
      <c r="K7" s="67"/>
    </row>
    <row r="8" spans="1:11" s="14" customFormat="1" ht="28.2" thickBot="1" x14ac:dyDescent="0.3">
      <c r="A8" s="70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1" ht="15" customHeight="1" x14ac:dyDescent="0.3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3">
      <c r="A10" s="34">
        <v>2010</v>
      </c>
      <c r="B10" s="9">
        <v>30499</v>
      </c>
      <c r="C10" s="9">
        <v>203693</v>
      </c>
      <c r="D10" s="9">
        <v>46120</v>
      </c>
      <c r="E10" s="9">
        <v>94962</v>
      </c>
      <c r="F10" s="9">
        <v>59419</v>
      </c>
      <c r="G10" s="9">
        <v>55990</v>
      </c>
      <c r="H10" s="9">
        <v>96147</v>
      </c>
      <c r="I10" s="9">
        <v>50387</v>
      </c>
      <c r="J10" s="9">
        <v>57228</v>
      </c>
      <c r="K10" s="9">
        <v>694445</v>
      </c>
    </row>
    <row r="11" spans="1:11" ht="15" customHeight="1" x14ac:dyDescent="0.3">
      <c r="A11" s="33">
        <v>2011</v>
      </c>
      <c r="B11" s="10">
        <v>34687</v>
      </c>
      <c r="C11" s="10">
        <v>207219</v>
      </c>
      <c r="D11" s="10">
        <v>49349</v>
      </c>
      <c r="E11" s="10">
        <v>99533</v>
      </c>
      <c r="F11" s="10">
        <v>65765</v>
      </c>
      <c r="G11" s="10">
        <v>63150</v>
      </c>
      <c r="H11" s="10">
        <v>100837</v>
      </c>
      <c r="I11" s="10">
        <v>62510</v>
      </c>
      <c r="J11" s="10">
        <v>57121</v>
      </c>
      <c r="K11" s="10">
        <v>740171</v>
      </c>
    </row>
    <row r="12" spans="1:11" ht="15" customHeight="1" x14ac:dyDescent="0.3">
      <c r="A12" s="34">
        <v>2012</v>
      </c>
      <c r="B12" s="9">
        <v>32886</v>
      </c>
      <c r="C12" s="9">
        <v>219031</v>
      </c>
      <c r="D12" s="9">
        <v>53395</v>
      </c>
      <c r="E12" s="9">
        <v>112429</v>
      </c>
      <c r="F12" s="9">
        <v>65250</v>
      </c>
      <c r="G12" s="9">
        <v>66533</v>
      </c>
      <c r="H12" s="9">
        <v>100054</v>
      </c>
      <c r="I12" s="9">
        <v>71014</v>
      </c>
      <c r="J12" s="9">
        <v>61378</v>
      </c>
      <c r="K12" s="9">
        <v>781970</v>
      </c>
    </row>
    <row r="13" spans="1:11" ht="15" customHeight="1" x14ac:dyDescent="0.3">
      <c r="A13" s="33">
        <v>2013</v>
      </c>
      <c r="B13" s="10">
        <v>34095</v>
      </c>
      <c r="C13" s="10">
        <v>220573</v>
      </c>
      <c r="D13" s="10">
        <v>60195</v>
      </c>
      <c r="E13" s="10">
        <v>119349</v>
      </c>
      <c r="F13" s="10">
        <v>65721</v>
      </c>
      <c r="G13" s="10">
        <v>69772</v>
      </c>
      <c r="H13" s="10">
        <v>102005</v>
      </c>
      <c r="I13" s="10">
        <v>78626</v>
      </c>
      <c r="J13" s="10">
        <v>67747</v>
      </c>
      <c r="K13" s="10">
        <v>818083</v>
      </c>
    </row>
    <row r="14" spans="1:11" ht="15" customHeight="1" x14ac:dyDescent="0.3">
      <c r="A14" s="34">
        <v>2014</v>
      </c>
      <c r="B14" s="9">
        <v>38863</v>
      </c>
      <c r="C14" s="9">
        <v>233256</v>
      </c>
      <c r="D14" s="9">
        <v>62721</v>
      </c>
      <c r="E14" s="9">
        <v>125783</v>
      </c>
      <c r="F14" s="9">
        <v>76668</v>
      </c>
      <c r="G14" s="9">
        <v>71345</v>
      </c>
      <c r="H14" s="9">
        <v>106225</v>
      </c>
      <c r="I14" s="9">
        <v>93969</v>
      </c>
      <c r="J14" s="9">
        <v>74642</v>
      </c>
      <c r="K14" s="9">
        <v>883472</v>
      </c>
    </row>
    <row r="15" spans="1:11" ht="15" customHeight="1" x14ac:dyDescent="0.3">
      <c r="A15" s="33">
        <v>2015</v>
      </c>
      <c r="B15" s="10">
        <v>39214</v>
      </c>
      <c r="C15" s="10">
        <v>213815</v>
      </c>
      <c r="D15" s="10">
        <v>57556</v>
      </c>
      <c r="E15" s="10">
        <v>126999</v>
      </c>
      <c r="F15" s="10">
        <v>72890</v>
      </c>
      <c r="G15" s="10">
        <v>73237</v>
      </c>
      <c r="H15" s="10">
        <v>103394</v>
      </c>
      <c r="I15" s="10">
        <v>100912</v>
      </c>
      <c r="J15" s="10">
        <v>76114</v>
      </c>
      <c r="K15" s="10">
        <f>SUM(B15:J15)</f>
        <v>864131</v>
      </c>
    </row>
    <row r="16" spans="1:11" ht="15" customHeight="1" x14ac:dyDescent="0.3">
      <c r="A16" s="34">
        <v>2016</v>
      </c>
      <c r="B16" s="9">
        <v>38910</v>
      </c>
      <c r="C16" s="9">
        <v>231430</v>
      </c>
      <c r="D16" s="9">
        <v>58467</v>
      </c>
      <c r="E16" s="9">
        <v>131960</v>
      </c>
      <c r="F16" s="9">
        <v>75219</v>
      </c>
      <c r="G16" s="9">
        <v>74477</v>
      </c>
      <c r="H16" s="9">
        <v>108161</v>
      </c>
      <c r="I16" s="9">
        <v>109221</v>
      </c>
      <c r="J16" s="9">
        <v>72611</v>
      </c>
      <c r="K16" s="9">
        <v>900456</v>
      </c>
    </row>
    <row r="17" spans="1:12" ht="15" customHeight="1" x14ac:dyDescent="0.3">
      <c r="A17" s="33">
        <v>2017</v>
      </c>
      <c r="B17" s="10">
        <v>35781</v>
      </c>
      <c r="C17" s="10">
        <v>219382</v>
      </c>
      <c r="D17" s="10">
        <v>61380</v>
      </c>
      <c r="E17" s="10">
        <v>127661</v>
      </c>
      <c r="F17" s="10">
        <v>59990</v>
      </c>
      <c r="G17" s="10">
        <v>74319</v>
      </c>
      <c r="H17" s="10">
        <v>96081</v>
      </c>
      <c r="I17" s="10">
        <v>105452</v>
      </c>
      <c r="J17" s="10">
        <v>70527</v>
      </c>
      <c r="K17" s="10">
        <v>850573</v>
      </c>
    </row>
    <row r="18" spans="1:12" ht="15" customHeight="1" x14ac:dyDescent="0.3">
      <c r="A18" s="34">
        <v>2018</v>
      </c>
      <c r="B18" s="9">
        <v>34848</v>
      </c>
      <c r="C18" s="9">
        <v>222769</v>
      </c>
      <c r="D18" s="9">
        <v>64631</v>
      </c>
      <c r="E18" s="9">
        <v>130249</v>
      </c>
      <c r="F18" s="9">
        <v>71358</v>
      </c>
      <c r="G18" s="9">
        <v>72711</v>
      </c>
      <c r="H18" s="9">
        <v>100759</v>
      </c>
      <c r="I18" s="9">
        <v>107564</v>
      </c>
      <c r="J18" s="9">
        <v>67768</v>
      </c>
      <c r="K18" s="9">
        <v>872657</v>
      </c>
    </row>
    <row r="19" spans="1:12" ht="15" customHeight="1" x14ac:dyDescent="0.3">
      <c r="A19" s="33">
        <v>2019</v>
      </c>
      <c r="B19" s="10">
        <v>33257</v>
      </c>
      <c r="C19" s="10">
        <v>210459</v>
      </c>
      <c r="D19" s="10">
        <v>51362</v>
      </c>
      <c r="E19" s="10">
        <v>114079</v>
      </c>
      <c r="F19" s="10">
        <v>57751</v>
      </c>
      <c r="G19" s="10">
        <v>71610</v>
      </c>
      <c r="H19" s="10">
        <v>98608</v>
      </c>
      <c r="I19" s="10">
        <v>99141</v>
      </c>
      <c r="J19" s="10">
        <v>62609</v>
      </c>
      <c r="K19" s="10">
        <v>798876</v>
      </c>
    </row>
    <row r="20" spans="1:12" ht="15" customHeight="1" x14ac:dyDescent="0.3">
      <c r="A20" s="34">
        <v>2020</v>
      </c>
      <c r="B20" s="9">
        <v>33499</v>
      </c>
      <c r="C20" s="9">
        <v>184171</v>
      </c>
      <c r="D20" s="9">
        <v>53480</v>
      </c>
      <c r="E20" s="9">
        <v>118009</v>
      </c>
      <c r="F20" s="9">
        <v>69188</v>
      </c>
      <c r="G20" s="9">
        <v>66657</v>
      </c>
      <c r="H20" s="9">
        <v>87740</v>
      </c>
      <c r="I20" s="9">
        <v>104365</v>
      </c>
      <c r="J20" s="9">
        <v>69471</v>
      </c>
      <c r="K20" s="9">
        <v>786580</v>
      </c>
    </row>
    <row r="21" spans="1:12" ht="15" customHeight="1" x14ac:dyDescent="0.3">
      <c r="A21" s="33">
        <v>2021</v>
      </c>
      <c r="B21" s="10">
        <v>36826</v>
      </c>
      <c r="C21" s="10">
        <v>226415</v>
      </c>
      <c r="D21" s="10">
        <v>51318</v>
      </c>
      <c r="E21" s="10">
        <v>137920</v>
      </c>
      <c r="F21" s="10">
        <v>72799</v>
      </c>
      <c r="G21" s="10">
        <v>76804</v>
      </c>
      <c r="H21" s="10">
        <v>115403</v>
      </c>
      <c r="I21" s="10">
        <v>118395</v>
      </c>
      <c r="J21" s="10">
        <v>70522</v>
      </c>
      <c r="K21" s="10">
        <f>SUM(B21:J21)</f>
        <v>906402</v>
      </c>
    </row>
    <row r="22" spans="1:12" ht="15" customHeight="1" x14ac:dyDescent="0.3">
      <c r="A22" s="34">
        <v>2022</v>
      </c>
      <c r="B22" s="9">
        <v>36122</v>
      </c>
      <c r="C22" s="9">
        <v>210783</v>
      </c>
      <c r="D22" s="9">
        <v>59055</v>
      </c>
      <c r="E22" s="9">
        <v>137034</v>
      </c>
      <c r="F22" s="9">
        <v>70486</v>
      </c>
      <c r="G22" s="9">
        <v>69433</v>
      </c>
      <c r="H22" s="9">
        <v>111494</v>
      </c>
      <c r="I22" s="9">
        <v>122689</v>
      </c>
      <c r="J22" s="9">
        <v>76734</v>
      </c>
      <c r="K22" s="9">
        <v>893830</v>
      </c>
    </row>
    <row r="23" spans="1:12" ht="15" customHeight="1" x14ac:dyDescent="0.3">
      <c r="A23" s="33">
        <v>2023</v>
      </c>
      <c r="B23" s="62">
        <v>29161</v>
      </c>
      <c r="C23" s="62">
        <v>185302</v>
      </c>
      <c r="D23" s="62">
        <v>45406</v>
      </c>
      <c r="E23" s="62">
        <v>116445</v>
      </c>
      <c r="F23" s="62">
        <v>57475</v>
      </c>
      <c r="G23" s="62">
        <v>63604</v>
      </c>
      <c r="H23" s="62">
        <v>92626</v>
      </c>
      <c r="I23" s="62">
        <v>106480</v>
      </c>
      <c r="J23" s="62">
        <v>55642</v>
      </c>
      <c r="K23" s="62">
        <f>SUM(B23:J23)</f>
        <v>752141</v>
      </c>
    </row>
    <row r="24" spans="1:12" ht="15" customHeight="1" thickBot="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2" s="48" customFormat="1" ht="21" customHeight="1" thickBot="1" x14ac:dyDescent="0.3">
      <c r="A25" s="69" t="s">
        <v>7</v>
      </c>
      <c r="B25" s="67" t="s">
        <v>28</v>
      </c>
      <c r="C25" s="67"/>
      <c r="D25" s="67"/>
      <c r="E25" s="67"/>
      <c r="F25" s="67"/>
      <c r="G25" s="67"/>
      <c r="H25" s="67"/>
      <c r="I25" s="67"/>
      <c r="J25" s="67"/>
      <c r="K25" s="67"/>
    </row>
    <row r="26" spans="1:12" s="14" customFormat="1" ht="28.2" thickBot="1" x14ac:dyDescent="0.3">
      <c r="A26" s="70"/>
      <c r="B26" s="12" t="s">
        <v>8</v>
      </c>
      <c r="C26" s="12" t="s">
        <v>9</v>
      </c>
      <c r="D26" s="12" t="s">
        <v>10</v>
      </c>
      <c r="E26" s="12" t="s">
        <v>11</v>
      </c>
      <c r="F26" s="12" t="s">
        <v>12</v>
      </c>
      <c r="G26" s="12" t="s">
        <v>13</v>
      </c>
      <c r="H26" s="12" t="s">
        <v>14</v>
      </c>
      <c r="I26" s="12" t="s">
        <v>15</v>
      </c>
      <c r="J26" s="12" t="s">
        <v>16</v>
      </c>
      <c r="K26" s="13" t="s">
        <v>27</v>
      </c>
    </row>
    <row r="27" spans="1:12" ht="15" customHeight="1" x14ac:dyDescent="0.3">
      <c r="A27" s="3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2" ht="15" customHeight="1" x14ac:dyDescent="0.3">
      <c r="A28" s="34">
        <v>2010</v>
      </c>
      <c r="B28" s="9">
        <v>79060.154999999999</v>
      </c>
      <c r="C28" s="9">
        <v>890485.39999999991</v>
      </c>
      <c r="D28" s="9">
        <v>186766</v>
      </c>
      <c r="E28" s="9">
        <v>345785.65413000004</v>
      </c>
      <c r="F28" s="9">
        <v>167643.34</v>
      </c>
      <c r="G28" s="9">
        <v>187456.4</v>
      </c>
      <c r="H28" s="9">
        <v>369743.4</v>
      </c>
      <c r="I28" s="9">
        <v>162744.19</v>
      </c>
      <c r="J28" s="9">
        <v>129108</v>
      </c>
      <c r="K28" s="9">
        <v>2518792.5391299999</v>
      </c>
    </row>
    <row r="29" spans="1:12" ht="15" customHeight="1" x14ac:dyDescent="0.3">
      <c r="A29" s="33">
        <v>2011</v>
      </c>
      <c r="B29" s="10">
        <v>122892.25900000001</v>
      </c>
      <c r="C29" s="10">
        <v>952125.1</v>
      </c>
      <c r="D29" s="10">
        <v>199836.65</v>
      </c>
      <c r="E29" s="10">
        <v>415067.93900000001</v>
      </c>
      <c r="F29" s="10">
        <v>238533.99</v>
      </c>
      <c r="G29" s="10">
        <v>224616</v>
      </c>
      <c r="H29" s="10">
        <v>396361.163</v>
      </c>
      <c r="I29" s="10">
        <v>238272.01</v>
      </c>
      <c r="J29" s="10">
        <v>188618.76500000001</v>
      </c>
      <c r="K29" s="10">
        <v>2976323.8760000006</v>
      </c>
    </row>
    <row r="30" spans="1:12" ht="15" customHeight="1" x14ac:dyDescent="0.3">
      <c r="A30" s="34">
        <v>2012</v>
      </c>
      <c r="B30" s="9">
        <v>73603.199999999997</v>
      </c>
      <c r="C30" s="9">
        <v>847468.89</v>
      </c>
      <c r="D30" s="9">
        <v>212227.15</v>
      </c>
      <c r="E30" s="9">
        <v>308776.59299999999</v>
      </c>
      <c r="F30" s="9">
        <v>173471.54399999999</v>
      </c>
      <c r="G30" s="9">
        <v>154419.20000000001</v>
      </c>
      <c r="H30" s="9">
        <v>139137.96400000001</v>
      </c>
      <c r="I30" s="9">
        <v>186927.77499999999</v>
      </c>
      <c r="J30" s="9">
        <v>181701.69699999999</v>
      </c>
      <c r="K30" s="9">
        <v>2277734.0129999998</v>
      </c>
    </row>
    <row r="31" spans="1:12" ht="15" customHeight="1" x14ac:dyDescent="0.3">
      <c r="A31" s="33">
        <v>2013</v>
      </c>
      <c r="B31" s="10">
        <v>106992.94</v>
      </c>
      <c r="C31" s="10">
        <v>1044139.9939999999</v>
      </c>
      <c r="D31" s="10">
        <v>268408.73</v>
      </c>
      <c r="E31" s="10">
        <v>537470.62600000005</v>
      </c>
      <c r="F31" s="10">
        <v>226811.50400000002</v>
      </c>
      <c r="G31" s="10">
        <v>253037.57800000001</v>
      </c>
      <c r="H31" s="10">
        <v>410688.05800000002</v>
      </c>
      <c r="I31" s="10">
        <v>330110.11099999998</v>
      </c>
      <c r="J31" s="10">
        <v>265530.82299999997</v>
      </c>
      <c r="K31" s="10">
        <v>3443190.3640000001</v>
      </c>
      <c r="L31" s="20"/>
    </row>
    <row r="32" spans="1:12" ht="15" customHeight="1" x14ac:dyDescent="0.3">
      <c r="A32" s="34">
        <v>2014</v>
      </c>
      <c r="B32" s="9">
        <v>72300.066999999995</v>
      </c>
      <c r="C32" s="9">
        <v>976176.04</v>
      </c>
      <c r="D32" s="9">
        <v>222459.86099999998</v>
      </c>
      <c r="E32" s="9">
        <v>420150.56599999999</v>
      </c>
      <c r="F32" s="9">
        <v>184304.94700000001</v>
      </c>
      <c r="G32" s="9">
        <v>159648.29499999998</v>
      </c>
      <c r="H32" s="9">
        <v>299596.63200000004</v>
      </c>
      <c r="I32" s="9">
        <v>268454.43</v>
      </c>
      <c r="J32" s="9">
        <v>176496.60399999999</v>
      </c>
      <c r="K32" s="9">
        <v>2779587.4419999998</v>
      </c>
    </row>
    <row r="33" spans="1:13" ht="15" customHeight="1" x14ac:dyDescent="0.3">
      <c r="A33" s="33">
        <v>2015</v>
      </c>
      <c r="B33" s="10">
        <v>104344.71799999999</v>
      </c>
      <c r="C33" s="10">
        <v>823133.02</v>
      </c>
      <c r="D33" s="10">
        <v>243666.8</v>
      </c>
      <c r="E33" s="10">
        <v>451063.46299999999</v>
      </c>
      <c r="F33" s="10">
        <v>197201</v>
      </c>
      <c r="G33" s="10">
        <v>185883.94399999999</v>
      </c>
      <c r="H33" s="10">
        <v>290404.20400000003</v>
      </c>
      <c r="I33" s="10">
        <v>326118.24</v>
      </c>
      <c r="J33" s="10">
        <v>211137.177</v>
      </c>
      <c r="K33" s="10">
        <v>2832952.5659999996</v>
      </c>
    </row>
    <row r="34" spans="1:13" ht="15" customHeight="1" x14ac:dyDescent="0.3">
      <c r="A34" s="34">
        <v>2016</v>
      </c>
      <c r="B34" s="9">
        <v>126844.266</v>
      </c>
      <c r="C34" s="9">
        <v>1095965.8359999999</v>
      </c>
      <c r="D34" s="9">
        <v>290579.38799999998</v>
      </c>
      <c r="E34" s="9">
        <v>620743.99300000002</v>
      </c>
      <c r="F34" s="9">
        <v>303695.98300000001</v>
      </c>
      <c r="G34" s="9">
        <v>246302.52299999999</v>
      </c>
      <c r="H34" s="9">
        <v>419148.141</v>
      </c>
      <c r="I34" s="9">
        <v>541909.59199999995</v>
      </c>
      <c r="J34" s="9">
        <v>314620.68</v>
      </c>
      <c r="K34" s="9">
        <v>3959810.4020000002</v>
      </c>
    </row>
    <row r="35" spans="1:13" ht="15" customHeight="1" x14ac:dyDescent="0.3">
      <c r="A35" s="33">
        <v>2017</v>
      </c>
      <c r="B35" s="10">
        <v>27588.651000000002</v>
      </c>
      <c r="C35" s="10">
        <v>590377.07700000005</v>
      </c>
      <c r="D35" s="10">
        <v>131816.04800000001</v>
      </c>
      <c r="E35" s="10">
        <v>193195.27</v>
      </c>
      <c r="F35" s="10">
        <v>79835.955000000002</v>
      </c>
      <c r="G35" s="10">
        <v>78788.485000000001</v>
      </c>
      <c r="H35" s="10">
        <v>172691.08900000001</v>
      </c>
      <c r="I35" s="10">
        <v>127843.353</v>
      </c>
      <c r="J35" s="10">
        <v>83806.085999999996</v>
      </c>
      <c r="K35" s="10">
        <v>1485942.0139999997</v>
      </c>
    </row>
    <row r="36" spans="1:13" ht="15" customHeight="1" x14ac:dyDescent="0.3">
      <c r="A36" s="34">
        <v>2018</v>
      </c>
      <c r="B36" s="9">
        <v>119899.538</v>
      </c>
      <c r="C36" s="9">
        <v>1024431.3810000001</v>
      </c>
      <c r="D36" s="9">
        <v>313559.74699999997</v>
      </c>
      <c r="E36" s="9">
        <v>553583.71499999997</v>
      </c>
      <c r="F36" s="9">
        <v>288474.69500000001</v>
      </c>
      <c r="G36" s="9">
        <v>231576.05600000001</v>
      </c>
      <c r="H36" s="9">
        <v>369943.55499999999</v>
      </c>
      <c r="I36" s="9">
        <v>434551.40399999998</v>
      </c>
      <c r="J36" s="9">
        <v>257545.88800000001</v>
      </c>
      <c r="K36" s="9">
        <f>SUM(B36:J36)</f>
        <v>3593565.9789999998</v>
      </c>
    </row>
    <row r="37" spans="1:13" ht="15" customHeight="1" x14ac:dyDescent="0.3">
      <c r="A37" s="33">
        <v>2019</v>
      </c>
      <c r="B37" s="10">
        <v>51848.237000000001</v>
      </c>
      <c r="C37" s="10">
        <v>795893.05</v>
      </c>
      <c r="D37" s="10">
        <v>182496.53200000001</v>
      </c>
      <c r="E37" s="10">
        <v>364184.31199999998</v>
      </c>
      <c r="F37" s="10">
        <v>108470.454</v>
      </c>
      <c r="G37" s="10">
        <v>156539.24299999999</v>
      </c>
      <c r="H37" s="10">
        <v>305036.93599999999</v>
      </c>
      <c r="I37" s="10">
        <v>206203.07500000001</v>
      </c>
      <c r="J37" s="10">
        <v>158393.041</v>
      </c>
      <c r="K37" s="10">
        <v>2329064.8800000004</v>
      </c>
    </row>
    <row r="38" spans="1:13" ht="15" customHeight="1" x14ac:dyDescent="0.3">
      <c r="A38" s="34">
        <v>2020</v>
      </c>
      <c r="B38" s="9">
        <v>146131.02299999999</v>
      </c>
      <c r="C38" s="9">
        <v>965400.60800000001</v>
      </c>
      <c r="D38" s="9">
        <v>243980</v>
      </c>
      <c r="E38" s="9">
        <v>453920.20500000002</v>
      </c>
      <c r="F38" s="9">
        <v>286920.864</v>
      </c>
      <c r="G38" s="9">
        <v>270571</v>
      </c>
      <c r="H38" s="9">
        <v>381460.07699999999</v>
      </c>
      <c r="I38" s="9">
        <v>512920.59299999999</v>
      </c>
      <c r="J38" s="9">
        <v>300306.96000000002</v>
      </c>
      <c r="K38" s="9">
        <v>3561611.33</v>
      </c>
    </row>
    <row r="39" spans="1:13" ht="15.6" customHeight="1" x14ac:dyDescent="0.3">
      <c r="A39" s="33">
        <v>2021</v>
      </c>
      <c r="B39" s="10">
        <v>125450.156</v>
      </c>
      <c r="C39" s="10">
        <v>1124253.669</v>
      </c>
      <c r="D39" s="10">
        <v>219369.05</v>
      </c>
      <c r="E39" s="10">
        <v>627855.62399999995</v>
      </c>
      <c r="F39" s="10">
        <v>264586.33100000001</v>
      </c>
      <c r="G39" s="10">
        <v>270712.97200000001</v>
      </c>
      <c r="H39" s="10">
        <v>482025.42700000003</v>
      </c>
      <c r="I39" s="10">
        <v>478777.58899999998</v>
      </c>
      <c r="J39" s="10">
        <v>284158.55300000001</v>
      </c>
      <c r="K39" s="10">
        <f>SUM(B39:J39)</f>
        <v>3877189.3710000003</v>
      </c>
    </row>
    <row r="40" spans="1:13" ht="15.6" customHeight="1" x14ac:dyDescent="0.3">
      <c r="A40" s="34">
        <v>2022</v>
      </c>
      <c r="B40" s="9">
        <v>75384.297999999995</v>
      </c>
      <c r="C40" s="9">
        <v>712041.91700000002</v>
      </c>
      <c r="D40" s="9">
        <v>199263.69</v>
      </c>
      <c r="E40" s="9">
        <v>502963.39199999999</v>
      </c>
      <c r="F40" s="9">
        <v>207152.889</v>
      </c>
      <c r="G40" s="9">
        <v>166567.5</v>
      </c>
      <c r="H40" s="9">
        <v>256280.174</v>
      </c>
      <c r="I40" s="9">
        <v>357763.07500000001</v>
      </c>
      <c r="J40" s="9">
        <v>146963.62400000001</v>
      </c>
      <c r="K40" s="9">
        <v>2624380.5589999999</v>
      </c>
    </row>
    <row r="41" spans="1:13" ht="15.6" customHeight="1" x14ac:dyDescent="0.3">
      <c r="A41" s="33">
        <v>2023</v>
      </c>
      <c r="B41" s="62">
        <v>38617</v>
      </c>
      <c r="C41" s="62">
        <v>503797</v>
      </c>
      <c r="D41" s="62">
        <v>139051</v>
      </c>
      <c r="E41" s="62">
        <v>350757</v>
      </c>
      <c r="F41" s="62">
        <v>154200</v>
      </c>
      <c r="G41" s="62">
        <v>103902</v>
      </c>
      <c r="H41" s="62">
        <v>97754</v>
      </c>
      <c r="I41" s="62">
        <v>227827</v>
      </c>
      <c r="J41" s="62">
        <v>114312</v>
      </c>
      <c r="K41" s="62">
        <f>SUM(B41:J41)</f>
        <v>1730217</v>
      </c>
    </row>
    <row r="42" spans="1:13" ht="15" customHeight="1" thickBot="1" x14ac:dyDescent="0.35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4"/>
      <c r="M42" s="58"/>
    </row>
  </sheetData>
  <mergeCells count="6">
    <mergeCell ref="A25:A26"/>
    <mergeCell ref="B25:K25"/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  <colBreaks count="1" manualBreakCount="1">
    <brk id="11" max="1048575" man="1"/>
  </colBreaks>
  <ignoredErrors>
    <ignoredError sqref="K39 K15 K21 K36 K41 K2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2.1.2.1</vt:lpstr>
      <vt:lpstr>2.1.2.2</vt:lpstr>
      <vt:lpstr>2.1.2.3</vt:lpstr>
      <vt:lpstr>2.1.2.4 </vt:lpstr>
      <vt:lpstr>2.1.2.5</vt:lpstr>
      <vt:lpstr>2.1.2.6</vt:lpstr>
      <vt:lpstr>2.1.2.7</vt:lpstr>
      <vt:lpstr>2.1.2.8</vt:lpstr>
      <vt:lpstr>'2.1.2.3'!Área_de_impresión</vt:lpstr>
      <vt:lpstr>'2.1.2.4 '!Área_de_impresión</vt:lpstr>
      <vt:lpstr>'2.1.2.5'!Área_de_impresión</vt:lpstr>
      <vt:lpstr>'2.1.2.6'!Área_de_impresión</vt:lpstr>
      <vt:lpstr>'2.1.2.7'!Área_de_impresión</vt:lpstr>
      <vt:lpstr>'2.1.2.8'!Área_de_impresión</vt:lpstr>
      <vt:lpstr>'2.1.2.1'!Títulos_a_imprimir</vt:lpstr>
      <vt:lpstr>'2.1.2.4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2018-10-04T09:40:42Z</dcterms:created>
  <dcterms:modified xsi:type="dcterms:W3CDTF">2025-02-07T12:06:59Z</dcterms:modified>
</cp:coreProperties>
</file>